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4" yWindow="-114" windowWidth="27602" windowHeight="16638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theme="1"/>
      <sz val="14"/>
      <scheme val="minor"/>
    </font>
    <font>
      <name val="Univers"/>
      <family val="2"/>
      <sz val="10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ptos Narrow"/>
      <family val="2"/>
      <color rgb="FF000000"/>
      <sz val="12"/>
      <scheme val="minor"/>
    </font>
    <font>
      <name val="Aptos Narrow"/>
      <family val="2"/>
      <b val="1"/>
      <color rgb="FFFF000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19" fillId="0" borderId="0"/>
    <xf numFmtId="43" fontId="1" fillId="0" borderId="0"/>
    <xf numFmtId="44" fontId="1" fillId="0" borderId="0"/>
    <xf numFmtId="0" fontId="18" fillId="0" borderId="0"/>
    <xf numFmtId="0" fontId="1" fillId="0" borderId="0"/>
    <xf numFmtId="43" fontId="21" fillId="0" borderId="0"/>
  </cellStyleXfs>
  <cellXfs count="22">
    <xf numFmtId="0" fontId="0" fillId="0" borderId="0" pivotButton="0" quotePrefix="0" xfId="0"/>
    <xf numFmtId="3" fontId="23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1" xfId="45">
      <alignment horizontal="center" vertical="center"/>
    </xf>
    <xf numFmtId="0" fontId="24" fillId="0" borderId="0" applyAlignment="1" pivotButton="0" quotePrefix="0" xfId="45">
      <alignment horizontal="center" vertical="center" wrapText="1"/>
    </xf>
    <xf numFmtId="3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1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1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48">
    <cellStyle name="Standard" xfId="0" builtinId="0"/>
    <cellStyle name="Überschrift" xfId="1" builtinId="15"/>
    <cellStyle name="Überschrift 1" xfId="2" builtinId="16"/>
    <cellStyle name="Überschrift 2" xfId="3" builtinId="17"/>
    <cellStyle name="Überschrift 3" xfId="4" builtinId="18"/>
    <cellStyle name="Überschrift 4" xfId="5" builtinId="19"/>
    <cellStyle name="Gut" xfId="6" builtinId="26"/>
    <cellStyle name="Schlecht" xfId="7" builtinId="27"/>
    <cellStyle name="Neutral" xfId="8" builtinId="28"/>
    <cellStyle name="Eingabe" xfId="9" builtinId="20"/>
    <cellStyle name="Ausgabe" xfId="10" builtinId="21"/>
    <cellStyle name="Berechnung" xfId="11" builtinId="22"/>
    <cellStyle name="Verknüpfte Zelle" xfId="12" builtinId="24"/>
    <cellStyle name="Zelle überprüfen" xfId="13" builtinId="23"/>
    <cellStyle name="Warnender Text" xfId="14" builtinId="11"/>
    <cellStyle name="Notiz" xfId="15" builtinId="10"/>
    <cellStyle name="Erklärender Text" xfId="16" builtinId="53"/>
    <cellStyle name="Ergebnis" xfId="17" builtinId="25"/>
    <cellStyle name="Akzent1" xfId="18" builtinId="29"/>
    <cellStyle name="20 % - Akzent1" xfId="19" builtinId="30"/>
    <cellStyle name="40 % - Akzent1" xfId="20" builtinId="31"/>
    <cellStyle name="60 % - Akzent1" xfId="21" builtinId="32"/>
    <cellStyle name="Akzent2" xfId="22" builtinId="33"/>
    <cellStyle name="20 % - Akzent2" xfId="23" builtinId="34"/>
    <cellStyle name="40 % - Akzent2" xfId="24" builtinId="35"/>
    <cellStyle name="60 % - Akzent2" xfId="25" builtinId="36"/>
    <cellStyle name="Akzent3" xfId="26" builtinId="37"/>
    <cellStyle name="20 % - Akzent3" xfId="27" builtinId="38"/>
    <cellStyle name="40 % - Akzent3" xfId="28" builtinId="39"/>
    <cellStyle name="60 % - Akzent3" xfId="29" builtinId="40"/>
    <cellStyle name="Akzent4" xfId="30" builtinId="41"/>
    <cellStyle name="20 % - Akzent4" xfId="31" builtinId="42"/>
    <cellStyle name="40 % - Akzent4" xfId="32" builtinId="43"/>
    <cellStyle name="60 % - Akzent4" xfId="33" builtinId="44"/>
    <cellStyle name="Akzent5" xfId="34" builtinId="45"/>
    <cellStyle name="20 % - Akzent5" xfId="35" builtinId="46"/>
    <cellStyle name="40 % - Akzent5" xfId="36" builtinId="47"/>
    <cellStyle name="60 % - Akzent5" xfId="37" builtinId="48"/>
    <cellStyle name="Akzent6" xfId="38" builtinId="49"/>
    <cellStyle name="20 % - Akzent6" xfId="39" builtinId="50"/>
    <cellStyle name="40 % - Akzent6" xfId="40" builtinId="51"/>
    <cellStyle name="60 % - Akzent6" xfId="41" builtinId="52"/>
    <cellStyle name="Standard 2" xfId="42"/>
    <cellStyle name="Komma 2" xfId="43"/>
    <cellStyle name="Währung 2" xfId="44"/>
    <cellStyle name="Hyperlink" xfId="45"/>
    <cellStyle name="Standard 3" xfId="46"/>
    <cellStyle name="Komma 4" xfId="47"/>
  </cellStyles>
  <dxfs count="7"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center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3" formatCode="#,##0"/>
      <alignment horizontal="center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center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center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1" displayName="Tabelle1" ref="A3:G12" headerRowCount="1" totalsRowShown="0">
  <autoFilter ref="A3:G12"/>
  <tableColumns count="7">
    <tableColumn id="1" name="Thema" dataDxfId="6"/>
    <tableColumn id="2" name="EA" dataDxfId="5"/>
    <tableColumn id="3" name="EL" dataDxfId="4"/>
    <tableColumn id="4" name="FL" dataDxfId="3"/>
    <tableColumn id="5" name="Bemerkung" dataDxfId="2"/>
    <tableColumn id="6" name="Link" dataDxfId="1"/>
    <tableColumn id="7" name="Hinweise für autom. Auslegung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/../../../../../../../:x:/r/sites/PMTVWPKWTE/Shared%20Documents/General/PMT_EA_Struktur/250929_0730_TE-PMT-Budget_Planung_2026_EPP%20Auswertung%20-%20filterbar.xlsx?d=wbffe2822cff544bbacdae070c4275dfa&amp;csf=1&amp;web=1&amp;e=TeneRl" TargetMode="External" Id="rId1"/><Relationship Type="http://schemas.openxmlformats.org/officeDocument/2006/relationships/hyperlink" Target="../../../../../../../../:x:/r/sites/VOBES2025/Shared%20Documents/General/VOBES/40_Themen/06_Vorentwicklung_VE/VE_2026/EKEK1_%C3%9Cbersicht_VE-Antr%C3%A4ge_2026.xlsx?d=wb5f1298cd5664dc2baa237a4c0ec2c4e&amp;csf=1&amp;web=1&amp;e=39Mciu" TargetMode="External" Id="rId2"/><Relationship Type="http://schemas.openxmlformats.org/officeDocument/2006/relationships/table" Target="/xl/tables/table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tabSelected="1" zoomScale="85" zoomScaleNormal="85" workbookViewId="0">
      <selection activeCell="Q2" sqref="Q2"/>
    </sheetView>
  </sheetViews>
  <sheetFormatPr baseColWidth="10" defaultRowHeight="16.4"/>
  <cols>
    <col width="31.42578125" customWidth="1" style="10" min="1" max="1"/>
    <col width="11.42578125" customWidth="1" style="10" min="2" max="4"/>
    <col width="48.140625" customWidth="1" style="10" min="5" max="5"/>
    <col width="11.42578125" customWidth="1" style="10" min="6" max="6"/>
    <col width="81.42578125" customWidth="1" style="10" min="7" max="7"/>
    <col width="11.42578125" customWidth="1" style="10" min="8" max="16384"/>
  </cols>
  <sheetData>
    <row r="1" ht="18.55" customHeight="1">
      <c r="A1" s="15" t="inlineStr">
        <is>
          <t>Sondervereinbarungen</t>
        </is>
      </c>
      <c r="B1" s="12" t="n"/>
    </row>
    <row r="2"/>
    <row r="3">
      <c r="A3" s="11" t="inlineStr">
        <is>
          <t>Thema</t>
        </is>
      </c>
      <c r="B3" s="12" t="inlineStr">
        <is>
          <t>EA</t>
        </is>
      </c>
      <c r="C3" s="12" t="inlineStr">
        <is>
          <t>EL</t>
        </is>
      </c>
      <c r="D3" s="12" t="inlineStr">
        <is>
          <t>FL</t>
        </is>
      </c>
      <c r="E3" s="13" t="inlineStr">
        <is>
          <t>Bemerkung</t>
        </is>
      </c>
      <c r="F3" s="11" t="inlineStr">
        <is>
          <t>Link</t>
        </is>
      </c>
      <c r="G3" s="14" t="inlineStr">
        <is>
          <t>Hinweise für autom. Auslegung</t>
        </is>
      </c>
      <c r="H3" s="11" t="n"/>
    </row>
    <row r="4" ht="98.40000000000001" customHeight="1">
      <c r="A4" s="3" t="inlineStr">
        <is>
          <t>PMT</t>
        </is>
      </c>
      <c r="B4" s="2" t="n">
        <v>43932</v>
      </c>
      <c r="C4" s="2" t="inlineStr">
        <is>
          <t>8.449h</t>
        </is>
      </c>
      <c r="D4" s="1" t="n">
        <v>1048</v>
      </c>
      <c r="E4" s="3" t="inlineStr">
        <is>
          <t>FL genehmigt. PMT-ID: 26-011. EL in Stunden!
100% EL für Ralf, Frank, Michal, Chris
62% Andreas</t>
        </is>
      </c>
      <c r="F4" s="5" t="inlineStr">
        <is>
          <t>PMT</t>
        </is>
      </c>
      <c r="G4" s="3" t="inlineStr">
        <is>
          <t>EL und FL müssen exakt passen!
EL und FL dürfen nur Quartalsweise beauftragen und werden sehr genau beobachtet.
Folgende Firmen können auf PMT buchen: 4soft, Thiesen, Volkswagen Group Services, FES, Sumitomo in genau dieser Priorität.
Achtung: 4soft kann nur auf PMT und Digi-budget gebucht werden!</t>
        </is>
      </c>
      <c r="H4" s="3" t="n"/>
    </row>
    <row r="5" ht="49.2" customHeight="1">
      <c r="A5" s="10" t="inlineStr">
        <is>
          <t>Digi-budget</t>
        </is>
      </c>
      <c r="B5" s="7" t="n">
        <v>48040</v>
      </c>
      <c r="C5" s="7" t="inlineStr">
        <is>
          <t>-</t>
        </is>
      </c>
      <c r="D5" s="6" t="n">
        <v>290</v>
      </c>
      <c r="E5" s="17" t="inlineStr">
        <is>
          <t>1. HJ DMU (170T€) + RuleChecker (120T€), aber mind. je 10T€ EL, 2. HJ noch kein Budget</t>
        </is>
      </c>
      <c r="F5" s="4" t="inlineStr">
        <is>
          <t>Link</t>
        </is>
      </c>
      <c r="G5" s="3" t="inlineStr">
        <is>
          <t>FL muss exakt passen! 
EL kann niedriger sein, darf aber auf keinen Fall höher sein. 
Werte für 1. HJ müssen auch wirklich im 1.HJ beauftragt werden.
Folgende Firmen können auf Digi-budget buchen: 4soft, Volkswagen Group Services, FES in genau dieser Priorität.</t>
        </is>
      </c>
    </row>
    <row r="6" ht="65.59999999999999" customHeight="1">
      <c r="A6" s="10" t="inlineStr">
        <is>
          <t>VCTC (KÜE)</t>
        </is>
      </c>
      <c r="B6" s="7" t="n">
        <v>93037</v>
      </c>
      <c r="C6" s="7" t="n"/>
      <c r="D6" s="6" t="n">
        <v>45</v>
      </c>
      <c r="E6" s="3" t="inlineStr">
        <is>
          <t>KÜE CMP21D (49T€ &gt; 45T€)</t>
        </is>
      </c>
      <c r="F6" s="7" t="n"/>
      <c r="G6" s="3" t="inlineStr">
        <is>
          <t>Hier nur FL buchen. 
FL muss exakt passen. 
FL kann am Stück beauftragt werden (hier keine Quartalsaufteilung notwendig).
Nur für Bertrandt, EDAG, FES, Thiesen.</t>
        </is>
      </c>
    </row>
    <row r="7" ht="65.59999999999999" customHeight="1">
      <c r="A7" s="10" t="inlineStr">
        <is>
          <t>VCTC (AWS)</t>
        </is>
      </c>
      <c r="B7" s="16" t="inlineStr">
        <is>
          <t>0055543,
0055544, 
0000097</t>
        </is>
      </c>
      <c r="C7" s="7" t="n"/>
      <c r="D7" s="6" t="n">
        <v>201</v>
      </c>
      <c r="E7" s="3" t="inlineStr">
        <is>
          <t>AWS  x4 in Summe 45 + 63 + 75 + 63 = 246 (TODO)</t>
        </is>
      </c>
      <c r="F7" s="7" t="n"/>
      <c r="G7" s="3" t="inlineStr">
        <is>
          <t>Hier nur FL buchen. 
FL muss exakt passen. 
FL kann am Stück beauftragt werden (hier keine Quartalsaufteilung notwendig).
Nur für Bertrandt, EDAG, FES, Thiesen.</t>
        </is>
      </c>
    </row>
    <row r="8" ht="49.2" customHeight="1">
      <c r="A8" s="10" t="inlineStr">
        <is>
          <t>NE Space Crafter</t>
        </is>
      </c>
      <c r="B8" s="7" t="n">
        <v>22020</v>
      </c>
      <c r="C8" s="7" t="n">
        <v>15</v>
      </c>
      <c r="D8" s="6" t="n">
        <v>150</v>
      </c>
      <c r="E8" s="3" t="inlineStr">
        <is>
          <t>Pro Halbjahr, EL: Armin, Donato, Afshin, TCM</t>
        </is>
      </c>
      <c r="F8" s="7" t="n"/>
      <c r="G8" s="3" t="inlineStr">
        <is>
          <t>EL und FL müssen exakt passen!
EL und FL müssen hier pro Halbjahr beauftragt werden!
Nur für Bertrandt und EDAG!</t>
        </is>
      </c>
    </row>
    <row r="9" ht="49.2" customHeight="1">
      <c r="A9" s="10" t="inlineStr">
        <is>
          <t xml:space="preserve">NE ID Buzz AD </t>
        </is>
      </c>
      <c r="B9" s="7" t="n">
        <v>35566</v>
      </c>
      <c r="C9" s="7" t="n">
        <v>15</v>
      </c>
      <c r="D9" s="6" t="n">
        <v>150</v>
      </c>
      <c r="E9" s="3" t="inlineStr">
        <is>
          <t>Pro Quartal,  EL: Armin, Donato, Afshin, TCM</t>
        </is>
      </c>
      <c r="F9" s="7" t="n"/>
      <c r="G9" s="3" t="inlineStr">
        <is>
          <t>EL und FL müssen exakt passen!
EL und FL müssen hier pro por Quartal beauftragt werden!
Nur für Bertrandt und EDAG!</t>
        </is>
      </c>
    </row>
    <row r="10" ht="49.2" customHeight="1">
      <c r="A10" s="10" t="inlineStr">
        <is>
          <t>MQB@CAE</t>
        </is>
      </c>
      <c r="B10" s="8" t="n">
        <v>412</v>
      </c>
      <c r="C10" s="7" t="inlineStr">
        <is>
          <t>-</t>
        </is>
      </c>
      <c r="D10" s="6" t="n">
        <v>323</v>
      </c>
      <c r="E10" s="3" t="inlineStr">
        <is>
          <t>Ein EA, Budgetadjustierung zugesagt. 323 T€ (2026) + 389 T€ (2027)...</t>
        </is>
      </c>
      <c r="F10" s="7" t="n"/>
      <c r="G10" s="3" t="inlineStr">
        <is>
          <t>Hier nur FL buchen. FL muss exakt passen. FL kann am Stück beauftragt werden (hier keine Quartalsaufteilung notwendig).
Nur für Bertrandt, EDAG, FES, Thiesen.</t>
        </is>
      </c>
    </row>
    <row r="11" ht="42.8" customHeight="1">
      <c r="A11" s="18" t="inlineStr">
        <is>
          <t>BIB+China Audi</t>
        </is>
      </c>
      <c r="B11" s="19" t="n">
        <v>33517</v>
      </c>
      <c r="C11" s="19" t="inlineStr">
        <is>
          <t>-</t>
        </is>
      </c>
      <c r="D11" s="20">
        <f>238+81+61</f>
        <v/>
      </c>
      <c r="E11" s="21" t="inlineStr">
        <is>
          <t>Bib Audi lt. Abmachung 81T€ EL + 238 T€ FL aber intern alles für FL!
China Audi: 61T€</t>
        </is>
      </c>
      <c r="F11" s="7" t="n"/>
      <c r="G11" s="3" t="inlineStr">
        <is>
          <t>EL und FL müssen exakt passen!
Nur für EDAG!</t>
        </is>
      </c>
    </row>
    <row r="12" ht="32.8" customHeight="1">
      <c r="A12" s="10" t="inlineStr">
        <is>
          <t>Scania</t>
        </is>
      </c>
      <c r="B12" s="7" t="n">
        <v>536</v>
      </c>
      <c r="C12" s="7" t="n">
        <v>15000</v>
      </c>
      <c r="D12" s="6" t="n"/>
      <c r="E12" s="3" t="inlineStr">
        <is>
          <t>Nur EL. EA Nummer EA536 angelegt und zentrale KÜE 200k€ bestäzigt (TODO)</t>
        </is>
      </c>
      <c r="F12" s="9" t="n"/>
      <c r="G12" s="3" t="inlineStr">
        <is>
          <t>Nur EL. Keine FL.</t>
        </is>
      </c>
    </row>
  </sheetData>
  <hyperlinks>
    <hyperlink xmlns:r="http://schemas.openxmlformats.org/officeDocument/2006/relationships" ref="F4" r:id="rId1"/>
    <hyperlink xmlns:r="http://schemas.openxmlformats.org/officeDocument/2006/relationships" ref="F5" r:id="rId2"/>
  </hyperlinks>
  <pageMargins left="0.7" right="0.7" top="0.787401575" bottom="0.787401575" header="0.3" footer="0.3"/>
  <headerFooter>
    <oddHeader>&amp;L&amp;"Arial"&amp;1 &amp;K000000 INTERNAL#_x000d_</oddHeader>
    <oddFooter/>
    <evenHeader/>
    <evenFooter/>
    <firstHeader/>
    <firstFooter/>
  </headerFooter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Mueller, Tobias Carsten, Dr. (EKEK/1)</dc:creator>
  <dcterms:created xmlns:dcterms="http://purl.org/dc/terms/" xmlns:xsi="http://www.w3.org/2001/XMLSchema-instance" xsi:type="dcterms:W3CDTF">2026-04-13T21:26:16Z</dcterms:created>
  <dcterms:modified xmlns:dcterms="http://purl.org/dc/terms/" xmlns:xsi="http://www.w3.org/2001/XMLSchema-instance" xsi:type="dcterms:W3CDTF">2026-04-18T10:09:43Z</dcterms:modified>
  <cp:lastModifiedBy>Mueller, Tobias Carsten, Dr. (EKEK/1)</cp:lastModifiedBy>
</cp:coreProperties>
</file>