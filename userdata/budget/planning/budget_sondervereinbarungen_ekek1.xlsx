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en\Python\vobes_agent_vscode\userdata\planning\"/>
    </mc:Choice>
  </mc:AlternateContent>
  <xr:revisionPtr revIDLastSave="0" documentId="13_ncr:1_{017FC91F-664A-4418-840A-53FF3C18D104}" xr6:coauthVersionLast="47" xr6:coauthVersionMax="47" xr10:uidLastSave="{00000000-0000-0000-0000-000000000000}"/>
  <bookViews>
    <workbookView xWindow="-114" yWindow="-114" windowWidth="27602" windowHeight="16638" xr2:uid="{EB4183FE-FD89-4142-A565-B59180A1299A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</calcChain>
</file>

<file path=xl/sharedStrings.xml><?xml version="1.0" encoding="utf-8"?>
<sst xmlns="http://schemas.openxmlformats.org/spreadsheetml/2006/main" count="42" uniqueCount="37">
  <si>
    <t>Thema</t>
  </si>
  <si>
    <t>EA</t>
  </si>
  <si>
    <t>EL</t>
  </si>
  <si>
    <t>FL</t>
  </si>
  <si>
    <t>Bemerkung</t>
  </si>
  <si>
    <t>Link</t>
  </si>
  <si>
    <t>Hinweise für autom. Auslegung</t>
  </si>
  <si>
    <t>PMT</t>
  </si>
  <si>
    <t>8.449h</t>
  </si>
  <si>
    <t>Digi-budget</t>
  </si>
  <si>
    <t>-</t>
  </si>
  <si>
    <t>VCTC (KÜE)</t>
  </si>
  <si>
    <t>KÜE CMP21D (49T€ &gt; 45T€)</t>
  </si>
  <si>
    <t>VCTC (AWS)</t>
  </si>
  <si>
    <t>AWS  x4 in Summe 45 + 63 + 75 + 63 = 246 (TODO)</t>
  </si>
  <si>
    <t>NE Space Crafter</t>
  </si>
  <si>
    <t>Pro Halbjahr, EL: Armin, Donato, Afshin, TCM</t>
  </si>
  <si>
    <t xml:space="preserve">NE ID Buzz AD </t>
  </si>
  <si>
    <t>Pro Quartal,  EL: Armin, Donato, Afshin, TCM</t>
  </si>
  <si>
    <t>MQB@CAE</t>
  </si>
  <si>
    <t>Ein EA, Budgetadjustierung zugesagt. 323 T€ (2026) + 389 T€ (2027)...</t>
  </si>
  <si>
    <t>Scania</t>
  </si>
  <si>
    <t>Nur EL. Keine FL.</t>
  </si>
  <si>
    <t>FL genehmigt. PMT-ID: 26-011. EL in Stunden!
100% EL für Ralf, Frank, Michal, Chris
62% Andreas</t>
  </si>
  <si>
    <t>EL und FL müssen exakt passen!
EL und FL dürfen nur Quartalsweise beauftragen und werden sehr genau beobachtet.
Folgende Firmen können auf PMT buchen: 4soft, Thiesen, FES, Sumitomo in genau dieser Priorität.
Achtung: 4soft kann nur auf PMT und Digi-budget gebucht werden!</t>
  </si>
  <si>
    <t>Hier nur FL buchen. FL muss exakt passen. FL kann am Stück beauftragt werden (hier keine Quartalsaufteilung notwendig).
Nur für Bertrandt, EDAG, FES, Thiesen.</t>
  </si>
  <si>
    <t>EL und FL müssen exakt passen!
EL und FL müssen hier pro Halbjahr beauftragt werden!
Nur für Bertrandt und EDAG!</t>
  </si>
  <si>
    <t>EL und FL müssen exakt passen!
EL und FL müssen hier pro por Quartal beauftragt werden!
Nur für Bertrandt und EDAG!</t>
  </si>
  <si>
    <t>EL und FL müssen exakt passen!
Nur für EDAG!</t>
  </si>
  <si>
    <r>
      <rPr>
        <sz val="12"/>
        <color rgb="FF000000"/>
        <rFont val="Aptos Narrow"/>
        <family val="2"/>
        <scheme val="minor"/>
      </rPr>
      <t>Nur EL. EA Nummer EA536 angelegt und zentrale KÜE 200k€ bestäzigt (</t>
    </r>
    <r>
      <rPr>
        <b/>
        <sz val="12"/>
        <color rgb="FFFF0000"/>
        <rFont val="Aptos Narrow"/>
        <family val="2"/>
        <scheme val="minor"/>
      </rPr>
      <t>TODO</t>
    </r>
    <r>
      <rPr>
        <sz val="12"/>
        <color rgb="FF000000"/>
        <rFont val="Aptos Narrow"/>
        <family val="2"/>
        <scheme val="minor"/>
      </rPr>
      <t>)</t>
    </r>
  </si>
  <si>
    <t>Sondervereinbarungen</t>
  </si>
  <si>
    <t>0055543,
0055544, 
0000097</t>
  </si>
  <si>
    <t>Hier nur FL buchen. 
FL muss exakt passen. 
FL kann am Stück beauftragt werden (hier keine Quartalsaufteilung notwendig).
Nur für Bertrandt, EDAG, FES, Thiesen.</t>
  </si>
  <si>
    <t>FL muss exakt passen! 
EL kann niedriger sein, darf aber auf keinen Fall höher sein. 
Werte für 1. HJ müssen auch wirklich im 1.HJ beauftragt werden.</t>
  </si>
  <si>
    <t>1. HJ DMU (170T€) + RuleChecker (120T€), aber mind. je 10T€ EL, 2. HJ noch kein Budget</t>
  </si>
  <si>
    <t>BIB+China Audi</t>
  </si>
  <si>
    <t>Bib Audi lt. Abmachung 81T€ EL + 238 T€ FL aber intern alles für FL!
China Audi: 61T€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</si>
</sst>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43" formatCode="_-* #,##0.00_-;\-* #,##0.00_-;_-* &quot;-&quot;??_-;_-@_-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name val="Univers"/>
      <family val="2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8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1" fillId="0" borderId="0"/>
    <xf numFmtId="43" fontId="21" fillId="0" borderId="0" applyFont="0" applyFill="0" applyBorder="0" applyAlignment="0" applyProtection="0"/>
  </cellStyleXfs>
  <cellXfs count="22">
    <xf numFmtId="0" fontId="0" fillId="0" borderId="0" xfId="0"/>
    <xf numFmtId="3" fontId="23" fillId="0" borderId="0" xfId="0" applyNumberFormat="1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3" fillId="0" borderId="0" xfId="0" applyFont="1" applyAlignment="1">
      <alignment vertical="center" wrapText="1"/>
    </xf>
    <xf numFmtId="0" fontId="24" fillId="0" borderId="0" xfId="45" quotePrefix="1" applyFont="1" applyAlignment="1">
      <alignment horizontal="center" vertical="center"/>
    </xf>
    <xf numFmtId="0" fontId="24" fillId="0" borderId="0" xfId="45" applyFont="1" applyAlignment="1">
      <alignment horizontal="center" vertical="center" wrapText="1"/>
    </xf>
    <xf numFmtId="3" fontId="23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quotePrefix="1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3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0" fillId="0" borderId="0" xfId="0" applyFont="1" applyAlignment="1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0" xfId="0" applyAlignment="1">
      <alignment vertical="center" wrapText="1"/>
    </xf>
  </cellXfs>
  <cellStyles count="48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Hyperlink" xfId="45" xr:uid="{2B45EE5C-3B5E-48C4-849D-C523FD579D7C}"/>
    <cellStyle name="Komma 2" xfId="43" xr:uid="{947C728F-2CA0-46C1-B656-E59D3A5D8184}"/>
    <cellStyle name="Komma 4" xfId="47" xr:uid="{BDF4C22B-C23A-460C-8A55-C428C1B38E73}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Standard 2" xfId="42" xr:uid="{11BF2E32-CD8E-4080-BA45-E4AC8ED34177}"/>
    <cellStyle name="Standard 3" xfId="46" xr:uid="{B8CDC061-2B1F-4881-8649-10BCA6AA4ABB}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ährung 2" xfId="44" xr:uid="{353CF0E9-51E6-47D0-8024-664FD2AEE4C2}"/>
    <cellStyle name="Warnender Text" xfId="14" builtinId="11" customBuiltin="1"/>
    <cellStyle name="Zelle überprüfen" xfId="13" builtinId="23" customBuiltin="1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920770E-A5D3-4FDB-97AD-7B6A36761DDF}" name="Tabelle1" displayName="Tabelle1" ref="A3:G12" totalsRowShown="0">
  <autoFilter ref="A3:G12" xr:uid="{9920770E-A5D3-4FDB-97AD-7B6A36761DDF}"/>
  <tableColumns count="7">
    <tableColumn id="1" xr3:uid="{7FBFB2F5-6533-44DD-A8A9-001C1BD35EEF}" name="Thema" dataDxfId="6"/>
    <tableColumn id="2" xr3:uid="{FE88B786-B4B2-45DB-BBFF-728067F655EB}" name="EA" dataDxfId="5"/>
    <tableColumn id="3" xr3:uid="{B6AFC1E8-D0B9-4A96-BF39-837402A82CEA}" name="EL" dataDxfId="4"/>
    <tableColumn id="4" xr3:uid="{D09ED4CB-0831-4995-837B-B2D13ADA2726}" name="FL" dataDxfId="3"/>
    <tableColumn id="5" xr3:uid="{1FA7B5E8-D6B8-4D4A-9674-1BB1F2A593F2}" name="Bemerkung" dataDxfId="2"/>
    <tableColumn id="6" xr3:uid="{9470CF00-A443-46CB-89F0-4D22A7507E4A}" name="Link" dataDxfId="1"/>
    <tableColumn id="7" xr3:uid="{6AE73243-B4A2-4368-ACFA-CAA6CAD0D29D}" name="Hinweise für autom. Auslegung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../../../../../../../../:x:/r/sites/VOBES2025/Shared%20Documents/General/VOBES/40_Themen/06_Vorentwicklung_VE/VE_2026/EKEK1_%C3%9Cbersicht_VE-Antr%C3%A4ge_2026.xlsx?d=wb5f1298cd5664dc2baa237a4c0ec2c4e&amp;csf=1&amp;web=1&amp;e=39Mciu" TargetMode="External"/><Relationship Id="rId1" Type="http://schemas.openxmlformats.org/officeDocument/2006/relationships/hyperlink" Target="../../../../../../../../:x:/r/sites/PMTVWPKWTE/Shared%20Documents/General/PMT_EA_Struktur/250929_0730_TE-PMT-Budget_Planung_2026_EPP%20Auswertung%20-%20filterbar.xlsx?d=wbffe2822cff544bbacdae070c4275dfa&amp;csf=1&amp;web=1&amp;e=TeneR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4DD96-1184-4C46-856F-109C5ABD0137}">
  <dimension ref="A1:H12"/>
  <sheetViews>
    <sheetView tabSelected="1" zoomScale="85" zoomScaleNormal="85" workbookViewId="0">
      <selection activeCell="Q2" sqref="Q2"/>
    </sheetView>
  </sheetViews>
  <sheetFormatPr baseColWidth="10" defaultRowHeight="16.399999999999999" x14ac:dyDescent="0.25"/>
  <cols>
    <col min="1" max="1" width="31.42578125" style="10" customWidth="1"/>
    <col min="2" max="4" width="11.42578125" style="10"/>
    <col min="5" max="5" width="48.140625" style="10" customWidth="1"/>
    <col min="6" max="6" width="11.42578125" style="10"/>
    <col min="7" max="7" width="81.42578125" style="10" customWidth="1"/>
    <col min="8" max="16384" width="11.42578125" style="10"/>
  </cols>
  <sheetData>
    <row r="1" spans="1:8" ht="18.55" x14ac:dyDescent="0.25">
      <c r="A1" s="15" t="s">
        <v>30</v>
      </c>
      <c r="B1" s="12"/>
    </row>
    <row r="3" spans="1:8" x14ac:dyDescent="0.25">
      <c r="A3" s="11" t="s">
        <v>0</v>
      </c>
      <c r="B3" s="12" t="s">
        <v>1</v>
      </c>
      <c r="C3" s="12" t="s">
        <v>2</v>
      </c>
      <c r="D3" s="12" t="s">
        <v>3</v>
      </c>
      <c r="E3" s="13" t="s">
        <v>4</v>
      </c>
      <c r="F3" s="11" t="s">
        <v>5</v>
      </c>
      <c r="G3" s="14" t="s">
        <v>6</v>
      </c>
      <c r="H3" s="11"/>
    </row>
    <row r="4" spans="1:8" ht="98.4" x14ac:dyDescent="0.25">
      <c r="A4" s="3" t="s">
        <v>7</v>
      </c>
      <c r="B4" s="2">
        <v>43932</v>
      </c>
      <c r="C4" s="2" t="s">
        <v>8</v>
      </c>
      <c r="D4" s="1">
        <v>1048</v>
      </c>
      <c r="E4" s="3" t="s">
        <v>23</v>
      </c>
      <c r="F4" s="5" t="s">
        <v>7</v>
      </c>
      <c r="G4" s="3" t="s">
        <v>24</v>
      </c>
      <c r="H4" s="3"/>
    </row>
    <row r="5" spans="1:8" ht="49.2" x14ac:dyDescent="0.25">
      <c r="A5" s="10" t="s">
        <v>9</v>
      </c>
      <c r="B5" s="7">
        <v>48040</v>
      </c>
      <c r="C5" s="7" t="s">
        <v>10</v>
      </c>
      <c r="D5" s="6">
        <v>290</v>
      </c>
      <c r="E5" s="17" t="s">
        <v>34</v>
      </c>
      <c r="F5" s="4" t="s">
        <v>5</v>
      </c>
      <c r="G5" s="3" t="s">
        <v>33</v>
      </c>
    </row>
    <row r="6" spans="1:8" ht="65.599999999999994" x14ac:dyDescent="0.25">
      <c r="A6" s="10" t="s">
        <v>11</v>
      </c>
      <c r="B6" s="7">
        <v>93037</v>
      </c>
      <c r="C6" s="7"/>
      <c r="D6" s="6">
        <v>45</v>
      </c>
      <c r="E6" s="3" t="s">
        <v>12</v>
      </c>
      <c r="F6" s="7"/>
      <c r="G6" s="3" t="s">
        <v>32</v>
      </c>
    </row>
    <row r="7" spans="1:8" ht="65.599999999999994" x14ac:dyDescent="0.25">
      <c r="A7" s="10" t="s">
        <v>13</v>
      </c>
      <c r="B7" s="16" t="s">
        <v>31</v>
      </c>
      <c r="C7" s="7"/>
      <c r="D7" s="6">
        <v>201</v>
      </c>
      <c r="E7" s="3" t="s">
        <v>14</v>
      </c>
      <c r="F7" s="7"/>
      <c r="G7" s="3" t="s">
        <v>32</v>
      </c>
    </row>
    <row r="8" spans="1:8" ht="49.2" x14ac:dyDescent="0.25">
      <c r="A8" s="10" t="s">
        <v>15</v>
      </c>
      <c r="B8" s="7">
        <v>22020</v>
      </c>
      <c r="C8" s="7">
        <v>15</v>
      </c>
      <c r="D8" s="6">
        <v>150</v>
      </c>
      <c r="E8" s="3" t="s">
        <v>16</v>
      </c>
      <c r="F8" s="7"/>
      <c r="G8" s="3" t="s">
        <v>26</v>
      </c>
    </row>
    <row r="9" spans="1:8" ht="49.2" x14ac:dyDescent="0.25">
      <c r="A9" s="10" t="s">
        <v>17</v>
      </c>
      <c r="B9" s="7">
        <v>35566</v>
      </c>
      <c r="C9" s="7">
        <v>15</v>
      </c>
      <c r="D9" s="6">
        <v>150</v>
      </c>
      <c r="E9" s="3" t="s">
        <v>18</v>
      </c>
      <c r="F9" s="7"/>
      <c r="G9" s="3" t="s">
        <v>27</v>
      </c>
    </row>
    <row r="10" spans="1:8" ht="49.2" x14ac:dyDescent="0.25">
      <c r="A10" s="10" t="s">
        <v>19</v>
      </c>
      <c r="B10" s="8">
        <v>412</v>
      </c>
      <c r="C10" s="7" t="s">
        <v>10</v>
      </c>
      <c r="D10" s="6">
        <v>323</v>
      </c>
      <c r="E10" s="3" t="s">
        <v>20</v>
      </c>
      <c r="F10" s="7"/>
      <c r="G10" s="3" t="s">
        <v>25</v>
      </c>
    </row>
    <row r="11" spans="1:8" ht="42.8" x14ac:dyDescent="0.25">
      <c r="A11" s="18" t="s">
        <v>35</v>
      </c>
      <c r="B11" s="19">
        <v>33517</v>
      </c>
      <c r="C11" s="19" t="s">
        <v>10</v>
      </c>
      <c r="D11" s="20">
        <f>238+81+61</f>
        <v>380</v>
      </c>
      <c r="E11" s="21" t="s">
        <v>36</v>
      </c>
      <c r="F11" s="7"/>
      <c r="G11" s="3" t="s">
        <v>28</v>
      </c>
    </row>
    <row r="12" spans="1:8" ht="32.799999999999997" x14ac:dyDescent="0.25">
      <c r="A12" s="10" t="s">
        <v>21</v>
      </c>
      <c r="B12" s="7">
        <v>536</v>
      </c>
      <c r="C12" s="7">
        <v>15000</v>
      </c>
      <c r="D12" s="6"/>
      <c r="E12" s="3" t="s">
        <v>29</v>
      </c>
      <c r="F12" s="9"/>
      <c r="G12" s="3" t="s">
        <v>22</v>
      </c>
    </row>
  </sheetData>
  <hyperlinks>
    <hyperlink ref="F4" r:id="rId1" xr:uid="{E0BF1A46-1262-4C67-883D-0E917F650E6F}"/>
    <hyperlink ref="F5" r:id="rId2" xr:uid="{4AE66711-5CD1-4362-BC16-B2BC3C406312}"/>
  </hyperlinks>
  <pageMargins left="0.7" right="0.7" top="0.78740157499999996" bottom="0.78740157499999996" header="0.3" footer="0.3"/>
  <headerFooter>
    <oddHeader>&amp;L&amp;"Arial"&amp;8&amp;K000000 INTERNAL&amp;1#_x000D_</oddHeader>
  </headerFooter>
  <tableParts count="1">
    <tablePart r:id="rId3"/>
  </tableParts>
</worksheet>
</file>

<file path=docMetadata/LabelInfo.xml><?xml version="1.0" encoding="utf-8"?>
<clbl:labelList xmlns:clbl="http://schemas.microsoft.com/office/2020/mipLabelMetadata">
  <clbl:label id="{b1c9b508-7c6e-42bd-bedf-808292653d6c}" enabled="1" method="Standard" siteId="{2882be50-2012-4d88-ac86-544124e120c8}" contentBits="3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>Volkswagen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Mueller, Tobias Carsten, Dr. (EKEK/1)</dc:creator>
  <cp:lastModifiedBy>Mueller, Tobias Carsten, Dr. (EKEK/1)</cp:lastModifiedBy>
  <dcterms:created xsi:type="dcterms:W3CDTF">2026-04-13T21:26:16Z</dcterms:created>
  <dcterms:modified xsi:type="dcterms:W3CDTF">2026-04-15T05:55:08Z</dcterms:modified>
</cp:coreProperties>
</file>