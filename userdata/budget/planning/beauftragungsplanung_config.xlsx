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4" yWindow="-114" windowWidth="36727" windowHeight="20060" tabRatio="600" firstSheet="0" activeTab="4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Solver-Parameter" sheetId="2" state="visible" r:id="rId2"/>
    <sheet xmlns:r="http://schemas.openxmlformats.org/officeDocument/2006/relationships" name="Firmenziele" sheetId="3" state="visible" r:id="rId3"/>
    <sheet xmlns:r="http://schemas.openxmlformats.org/officeDocument/2006/relationships" name="Sondervorgaben" sheetId="4" state="visible" r:id="rId4"/>
    <sheet xmlns:r="http://schemas.openxmlformats.org/officeDocument/2006/relationships" name="EA-Blacklis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11"/>
    </font>
    <font>
      <name val="Calibri"/>
      <family val="2"/>
      <sz val="10"/>
      <scheme val="minor"/>
    </font>
    <font>
      <name val="Calibri"/>
      <b val="1"/>
      <color rgb="FFFFFFFF"/>
      <sz val="11"/>
    </font>
    <font>
      <name val="Calibri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4472C4"/>
      </patternFill>
    </fill>
    <fill>
      <patternFill patternType="solid">
        <fgColor rgb="FFFF00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1" fillId="7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top" wrapText="1"/>
    </xf>
    <xf numFmtId="0" fontId="4" fillId="8" borderId="3" applyAlignment="1" pivotButton="0" quotePrefix="0" xfId="0">
      <alignment vertical="top" wrapText="1"/>
    </xf>
    <xf numFmtId="0" fontId="0" fillId="0" borderId="3" pivotButton="0" quotePrefix="0" xfId="0"/>
    <xf numFmtId="0" fontId="3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4" fillId="8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9" borderId="0" applyAlignment="1" pivotButton="0" quotePrefix="0" xfId="0">
      <alignment horizontal="center"/>
    </xf>
    <xf numFmtId="0" fontId="5" fillId="9" borderId="0" pivotButton="0" quotePrefix="0" xfId="0"/>
    <xf numFmtId="0" fontId="0" fillId="0" borderId="4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9" sqref="A9"/>
    </sheetView>
  </sheetViews>
  <sheetFormatPr baseColWidth="10" defaultColWidth="9.140625" defaultRowHeight="14.3"/>
  <cols>
    <col width="74.28515625" customWidth="1" style="24" min="1" max="1"/>
  </cols>
  <sheetData>
    <row r="1" ht="261.1" customHeight="1" s="24">
      <c r="A1" s="23" t="inlineStr">
        <is>
          <t xml:space="preserve">ANLEITUNG: Beauftragungsplanung Config Excel
=============================================
Diese Excel steuert die automatische Beauftragungsplanung (MIP-Solver).
Sie besteht aus 4 Tabs — 3 davon sind solver-relevant, dieser Tab ist reine Doku.
TAB 1: Solver-Parameter
------------------------
Was: Alle Stellschrauben des Optimierungs-Solvers.
Spalten:
  - Parameter: Name (nicht ändern!)
  - Wert: Hier anpassen. Nur Zahlen oder true/false.
  - Standard: Originalwert zur Orientierung.
  - Beschreibung: Erklärt was der Parameter bewirkt.
Wichtigste Parameter:
  - stage2_activation_penalty / stage2_quarter_activation_penalty:
    Steuern wie viele verschiedene EAs und Quartale der Solver nutzt.
    Höhere Werte = weniger EAs, gebündeltere Beauftragungen.
  - stage2_soft_target_penalty:
    Wie streng die Firmenziele eingehalten werden. Höher = strenger.
  - stage2_throughlauf_change_penalty:
    Schutz für laufende Beauftragungen. Höher = weniger Kürzungen.
Tipp: Bei Formatfehlern (z.B. Text statt Zahl) bricht der Solver
mit einer klaren Fehlermeldung ab, die den Parameternamen nennt.
TAB 2: Firmenziele
------------------
Was: Jahresziele pro Firma in T€ und deren Quartalsverteilung.
Spalten:
  - Firma: Exakter BPLUS-Firmenname (Grossbuchstaben).
  - Jahresziel_TE: Gesamtbudget der Firma in T€ für das Planungsjahr.
  - Q1–Q4: Anteil pro Quartal als Dezimalzahl (0.25 = 25%).
    Die Summe Q1+Q2+Q3+Q4 muss 1.0 ergeben!
  - Schrittweite: Minimale Schrittweite für Beauftragungen (Standard: 1).
Tipp: Q-Anteile ungleich verteilen wenn z.B. Q1 weniger Budget hat.
Der Solver prüft automatisch ob Q-Summen zum Jahresziel passen.
TAB 3: Sondervorgaben
----------------------
Was: Spezielle Regeln für einzelne EAs (z.B. PMT, KÜE, NE-Projekte).
Solver-relevante Spalten (MÜSSEN korrekt sein):
  - Thema: Name der Sondervorgabe (frei wählbar).
  - EA: EA-Nummer(n), mehrere per Komma/Semikolon getrennt.
  - FL: Zielbetrag Fremdleistung in T€. Leer = keine FL-Vorgabe.
  - Kadenz: Zeitliche Verteilung. Erlaubte Werte:
      jaehrlich         — Gesamtbetrag übers Jahr verteilt
      pro Quartal       — Gleichmässig auf alle 4 Quartale
      pro Halbjahr      — Gleichmässig auf 2 Halbjahre
      1. Halbjahr       — Gesamtbetrag muss im 1. HJ beauftragt sein
      keine FL          — Nur Eigenleistung, keine Fremdleistung
  - Erlaubte_Firmen: Komma-getrennte Firmenkürzel (z.B. EDAG, BERTRANDT).
    Nur diese Firmen dürfen auf die genannten EAs buchen.
  - Prioritaet_Firmen: Komma-getrennte Firmenkürzel in Prioritätsreihenfolge.
    Firma an Position 1 wird bevorzugt, Position 2 bekommt leichten Aufschlag usw.
Nur zur Info (NICHT solver-relevant):
  - EL: Eigenleistung — nur für die eigene Dokumentation.
  - Bemerkung: Freitext-Notiz, erscheint im Report.
  - Hinweise: Ausführlichere Notizen, z.B. aus der alten Sondervorgaben-Datei.
Tipp: Zeilen ohne FL-Wert werden vom Solver ignoriert.
Firmenkürzel müssen im Firmennamen enthalten sein (z.B. "EDAG" matcht
"EDAG ENGINEERING GMBH WOLFSBURG"). Groß/Klein ist egal.
TAB 4: Praemissen (dieser Tab)
-------------------------------
Was: Freitext-Notizfeld für Planungsprämissen und diese Anleitung.
Wird NICHT vom Solver ausgewertet — rein dokumentarisch.
Hier können z.B. Planungsstand, Annahmen und Kontextinfos notiert werden.
</t>
        </is>
      </c>
    </row>
    <row r="2" ht="261.1" customHeight="1" s="24"/>
    <row r="3" ht="261.1" customHeight="1" s="24"/>
    <row r="4" ht="261.1" customHeight="1" s="24"/>
  </sheetData>
  <mergeCells count="1">
    <mergeCell ref="A1:A4"/>
  </mergeCells>
  <pageMargins left="0.75" right="0.75" top="1" bottom="1" header="0.5" footer="0.5"/>
  <headerFooter>
    <oddHeader>&amp;L&amp;"Arial"&amp;8&amp;K000000 INTERNAL&amp;1#_x000d_&amp;"Calibri"&amp;11&amp;K000000&amp;"Calibri"&amp;11&amp;K000000&amp;"Calibri"&amp;11&amp;K000000&amp;"Arial"&amp;1 &amp;K000000 INTERNAL#_x000d_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C2" sqref="C2"/>
    </sheetView>
  </sheetViews>
  <sheetFormatPr baseColWidth="10" defaultColWidth="9.140625" defaultRowHeight="14.3"/>
  <cols>
    <col width="43" customWidth="1" style="5" min="1" max="1"/>
    <col width="21" customWidth="1" style="5" min="2" max="3"/>
    <col width="78.140625" customWidth="1" style="14" min="4" max="4"/>
    <col width="9.140625" customWidth="1" style="5" min="5" max="7"/>
    <col width="9.140625" customWidth="1" style="5" min="8" max="16384"/>
  </cols>
  <sheetData>
    <row r="1">
      <c r="A1" s="4" t="inlineStr">
        <is>
          <t>Parameter</t>
        </is>
      </c>
      <c r="B1" s="4" t="inlineStr">
        <is>
          <t>Wert</t>
        </is>
      </c>
      <c r="C1" s="19" t="inlineStr">
        <is>
          <t>Standard</t>
        </is>
      </c>
      <c r="D1" s="19" t="inlineStr">
        <is>
          <t>Beschreibung</t>
        </is>
      </c>
    </row>
    <row r="2" ht="28.55" customHeight="1" s="24">
      <c r="A2" s="6" t="inlineStr">
        <is>
          <t>stage2_source</t>
        </is>
      </c>
      <c r="B2" s="15" t="inlineStr">
        <is>
          <t>plan_stage2_results</t>
        </is>
      </c>
      <c r="C2" s="7" t="inlineStr">
        <is>
          <t>plan_stage2_results</t>
        </is>
      </c>
      <c r="D2" s="8" t="inlineStr">
        <is>
          <t>Quelltabelle fuer Stage-2-Ergebnisse in der SQLite-DB. Nicht aendern, es sei denn eine alternative Ergebnis-Tabelle verwendet werden soll.</t>
        </is>
      </c>
    </row>
    <row r="3" ht="28.55" customHeight="1" s="24">
      <c r="A3" s="6" t="inlineStr">
        <is>
          <t>stage2_solver</t>
        </is>
      </c>
      <c r="B3" s="15" t="inlineStr">
        <is>
          <t>highs</t>
        </is>
      </c>
      <c r="C3" s="7" t="inlineStr">
        <is>
          <t>highs</t>
        </is>
      </c>
      <c r="D3" s="8" t="inlineStr">
        <is>
          <t>Solver-Engine fuer das MIP-Optimierungsproblem. Aktuell wird ausschliesslich 'highs' (HiGHS) unterstuetzt.</t>
        </is>
      </c>
    </row>
    <row r="4" ht="42.8" customHeight="1" s="24">
      <c r="A4" s="6" t="inlineStr">
        <is>
          <t>stage2_activation_penalty</t>
        </is>
      </c>
      <c r="B4" s="16" t="inlineStr">
        <is>
          <t>600</t>
        </is>
      </c>
      <c r="C4" s="7" t="inlineStr">
        <is>
          <t>100</t>
        </is>
      </c>
      <c r="D4" s="8" t="inlineStr">
        <is>
          <t>Jaehrliche Strafkosten (EUR) pro genutztem Entwicklungsauftrag (EA). Hoehere Werte fuehren dazu, dass der Solver weniger verschiedene EAs aktiviert und das Budget auf weniger EAs konzentriert.</t>
        </is>
      </c>
    </row>
    <row r="5" ht="42.8" customHeight="1" s="24">
      <c r="A5" s="6" t="inlineStr">
        <is>
          <t>stage2_quarter_activation_penalty</t>
        </is>
      </c>
      <c r="B5" s="16" t="inlineStr">
        <is>
          <t>300</t>
        </is>
      </c>
      <c r="C5" s="7" t="inlineStr">
        <is>
          <t>50</t>
        </is>
      </c>
      <c r="D5" s="8" t="inlineStr">
        <is>
          <t>Zusaetzliche Strafkosten (EUR) fuer jedes Quartal, in dem ein EA aktiv ist. Hoehere Werte reduzieren die Anzahl der Quartale pro EA und fuehren zu gebuendelteren Beauftragungen.</t>
        </is>
      </c>
    </row>
    <row r="6" ht="42.8" customHeight="1" s="24">
      <c r="A6" s="6" t="inlineStr">
        <is>
          <t>stage2_min_new_order_amount</t>
        </is>
      </c>
      <c r="B6" s="16" t="inlineStr">
        <is>
          <t>10000</t>
        </is>
      </c>
      <c r="C6" s="7" t="inlineStr">
        <is>
          <t>10000</t>
        </is>
      </c>
      <c r="D6" s="8" t="inlineStr">
        <is>
          <t>Mindestbetrag in EUR fuer neue Beauftragungen. Liegt eine geplante Beauftragung unter diesem Wert, wird sie vom Solver nicht angelegt. Verhindert Kleinstbeauftragungen.</t>
        </is>
      </c>
    </row>
    <row r="7" ht="28.55" customHeight="1" s="24">
      <c r="A7" s="6" t="inlineStr">
        <is>
          <t>stage2_repeat_quarter_penalty</t>
        </is>
      </c>
      <c r="B7" s="16" t="inlineStr">
        <is>
          <t>200</t>
        </is>
      </c>
      <c r="C7" s="7" t="inlineStr">
        <is>
          <t>200</t>
        </is>
      </c>
      <c r="D7" s="8" t="inlineStr">
        <is>
          <t>Strafkosten (EUR) wenn dieselbe EA in mehreren aufeinanderfolgenden Quartalen beauftragt wird. Hoehere Werte foerdern eine Rotation der EAs ueber die Quartale.</t>
        </is>
      </c>
    </row>
    <row r="8" ht="42.8" customHeight="1" s="24">
      <c r="A8" s="6" t="inlineStr">
        <is>
          <t>stage2_stop_penalty</t>
        </is>
      </c>
      <c r="B8" s="16" t="inlineStr">
        <is>
          <t>500</t>
        </is>
      </c>
      <c r="C8" s="7" t="inlineStr">
        <is>
          <t>500</t>
        </is>
      </c>
      <c r="D8" s="8" t="inlineStr">
        <is>
          <t>Strafkosten (EUR) fuer das Stoppen/Nicht-Fortfuehren eines bestehenden Konzepts (laufende Beauftragung). Schuetzt laufende Beauftragungen vor unnoetiger Unterbrechung.</t>
        </is>
      </c>
    </row>
    <row r="9" ht="42.8" customHeight="1" s="24">
      <c r="A9" s="6" t="inlineStr">
        <is>
          <t>stage2_large_order_penalty</t>
        </is>
      </c>
      <c r="B9" s="16" t="inlineStr">
        <is>
          <t>700</t>
        </is>
      </c>
      <c r="C9" s="7" t="inlineStr">
        <is>
          <t>700</t>
        </is>
      </c>
      <c r="D9" s="8" t="inlineStr">
        <is>
          <t>Strafkosten (EUR) fuer Einzelbeauftragungen die den large_order_threshold ueberschreiten. Wirkt gegen zu grosse Einzelpositionen und foerdert eine gleichmaessigere Verteilung.</t>
        </is>
      </c>
    </row>
    <row r="10" ht="28.55" customHeight="1" s="24">
      <c r="A10" s="6" t="inlineStr">
        <is>
          <t>stage2_large_order_threshold</t>
        </is>
      </c>
      <c r="B10" s="16" t="inlineStr">
        <is>
          <t>40000</t>
        </is>
      </c>
      <c r="C10" s="7" t="inlineStr">
        <is>
          <t>40000</t>
        </is>
      </c>
      <c r="D10" s="8" t="inlineStr">
        <is>
          <t>Schwellenwert in EUR ab dem die large_order_penalty greift. Beauftragungen ueber diesem Betrag erhalten den Strafaufschlag.</t>
        </is>
      </c>
    </row>
    <row r="11" ht="28.55" customHeight="1" s="24">
      <c r="A11" s="6" t="inlineStr">
        <is>
          <t>stage2_existing_small_amount_penalty</t>
        </is>
      </c>
      <c r="B11" s="16" t="inlineStr">
        <is>
          <t>10000</t>
        </is>
      </c>
      <c r="C11" s="7" t="inlineStr">
        <is>
          <t>10000</t>
        </is>
      </c>
      <c r="D11" s="8" t="inlineStr">
        <is>
          <t>Reserviert fuer kuenftige Nutzung, derzeit nicht aktiv im Solver. Vorgesehen fuer Strafkosten bei zu kleinen Betraegen auf bestehenden Konzepten.</t>
        </is>
      </c>
    </row>
    <row r="12" ht="42.8" customHeight="1" s="24">
      <c r="A12" s="6" t="inlineStr">
        <is>
          <t>stage2_soft_target_penalty</t>
        </is>
      </c>
      <c r="B12" s="16" t="inlineStr">
        <is>
          <t>100</t>
        </is>
      </c>
      <c r="C12" s="7" t="inlineStr">
        <is>
          <t>100</t>
        </is>
      </c>
      <c r="D12" s="8" t="inlineStr">
        <is>
          <t>Strafkosten pro EUR Abweichung wenn eine Firma unter ihrem Jahresziel (Firmenziel) bleibt. Hoehere Werte erzwingen eine genauere Einhaltung der Firmenziele.</t>
        </is>
      </c>
    </row>
    <row r="13" ht="42.8" customHeight="1" s="24">
      <c r="A13" s="6" t="inlineStr">
        <is>
          <t>stage2_active_ea_cap_per_quarter</t>
        </is>
      </c>
      <c r="B13" s="16" t="inlineStr">
        <is>
          <t>0</t>
        </is>
      </c>
      <c r="C13" s="7" t="inlineStr">
        <is>
          <t>0</t>
        </is>
      </c>
      <c r="D13" s="8" t="inlineStr">
        <is>
          <t>Maximale Anzahl aktiver EAs pro Firma und Quartal. 0 = unbegrenzt. Bei Werten &gt; 0 darf eine Firma in einem Quartal hoechstens diese Anzahl verschiedener EAs bedienen.</t>
        </is>
      </c>
    </row>
    <row r="14" ht="28.55" customHeight="1" s="24">
      <c r="A14" s="6" t="inlineStr">
        <is>
          <t>stage2_hard_need_bonus</t>
        </is>
      </c>
      <c r="B14" s="16" t="inlineStr">
        <is>
          <t>50</t>
        </is>
      </c>
      <c r="C14" s="7" t="inlineStr">
        <is>
          <t>50</t>
        </is>
      </c>
      <c r="D14" s="8" t="inlineStr">
        <is>
          <t>Bonus (negative Strafkosten, EUR) fuer EAs die als 'hart benoetigt' markiert sind (is_hard=1 in Stage-1). Bevorzugt die Zuweisung auf dringend benoetigte EAs.</t>
        </is>
      </c>
    </row>
    <row r="15" ht="28.55" customHeight="1" s="24">
      <c r="A15" s="6" t="inlineStr">
        <is>
          <t>stage2_throughlauf_change_penalty</t>
        </is>
      </c>
      <c r="B15" s="16" t="inlineStr">
        <is>
          <t>2500</t>
        </is>
      </c>
      <c r="C15" s="7" t="inlineStr">
        <is>
          <t>2500</t>
        </is>
      </c>
      <c r="D15" s="8" t="inlineStr">
        <is>
          <t>Strafkosten pro EUR Reduktion bei laufenden Positionen (Durchlaeufer). Sehr hoher Wert schuetzt bestehende Beauftragungen stark vor Kuerzungen.</t>
        </is>
      </c>
    </row>
    <row r="16" ht="28.55" customHeight="1" s="24">
      <c r="A16" s="6" t="inlineStr">
        <is>
          <t>stage2_special_rule_priority_penalty_step</t>
        </is>
      </c>
      <c r="B16" s="16" t="inlineStr">
        <is>
          <t>25</t>
        </is>
      </c>
      <c r="C16" s="7" t="inlineStr">
        <is>
          <t>25</t>
        </is>
      </c>
      <c r="D16" s="8" t="inlineStr">
        <is>
          <t>Strafkosten-Stufe (EUR) fuer Firmenprioritaet bei Sondervorgaben. Firma auf Prio 1 bekommt 0 Aufschlag, Prio 2 bekommt 1x diesen Wert, Prio 3 bekommt 2x usw.</t>
        </is>
      </c>
    </row>
    <row r="17" ht="28.55" customHeight="1" s="24">
      <c r="A17" s="6" t="inlineStr">
        <is>
          <t>stage2_special_rule_annual_penalty</t>
        </is>
      </c>
      <c r="B17" s="16" t="inlineStr">
        <is>
          <t>500</t>
        </is>
      </c>
      <c r="C17" s="7" t="inlineStr">
        <is>
          <t>500</t>
        </is>
      </c>
      <c r="D17" s="8" t="inlineStr">
        <is>
          <t>Strafkosten pro EUR Abweichung vom Sondervorgaben-Zielbetrag. Steuert wie streng der Solver die in den Sondervorgaben definierten FL-Betraege einhält.</t>
        </is>
      </c>
    </row>
    <row r="18" ht="28.55" customHeight="1" s="24">
      <c r="A18" s="6" t="inlineStr">
        <is>
          <t>stage2_global_quarter_undershoot_penalty</t>
        </is>
      </c>
      <c r="B18" s="16" t="inlineStr">
        <is>
          <t>500</t>
        </is>
      </c>
      <c r="C18" s="7" t="inlineStr">
        <is>
          <t>500</t>
        </is>
      </c>
      <c r="D18" s="8" t="inlineStr">
        <is>
          <t>Strafkosten pro EUR wenn ein Quartal insgesamt unter dem anteiligen Gesamtplan liegt. Verhindert, dass einzelne Quartale zu wenig Budget erhalten.</t>
        </is>
      </c>
    </row>
    <row r="19" ht="28.55" customHeight="1" s="24">
      <c r="A19" s="6" t="inlineStr">
        <is>
          <t>stage2_global_quarter_overshoot_penalty</t>
        </is>
      </c>
      <c r="B19" s="16" t="inlineStr">
        <is>
          <t>5</t>
        </is>
      </c>
      <c r="C19" s="7" t="inlineStr">
        <is>
          <t>5</t>
        </is>
      </c>
      <c r="D19" s="8" t="inlineStr">
        <is>
          <t>Strafkosten pro EUR wenn ein Quartal insgesamt ueber dem anteiligen Gesamtplan liegt. Bewusst niedrig, da leichte Ueberplanung weniger kritisch ist.</t>
        </is>
      </c>
    </row>
    <row r="20" ht="28.55" customHeight="1" s="24">
      <c r="A20" s="6" t="inlineStr">
        <is>
          <t>stage2_soft_target_overshoot_penalty</t>
        </is>
      </c>
      <c r="B20" s="16" t="inlineStr">
        <is>
          <t>10</t>
        </is>
      </c>
      <c r="C20" s="7" t="inlineStr">
        <is>
          <t>10</t>
        </is>
      </c>
      <c r="D20" s="8" t="inlineStr">
        <is>
          <t>Strafkosten pro EUR wenn eine Firma ueber ihrem Jahresziel liegt. Niedriger als soft_target_penalty, da Ueberplanung weniger kritisch ist als Unterplanung.</t>
        </is>
      </c>
    </row>
    <row r="21" ht="28.55" customHeight="1" s="24">
      <c r="A21" s="6" t="inlineStr">
        <is>
          <t>stage2_time_limit_seconds</t>
        </is>
      </c>
      <c r="B21" s="16" t="n">
        <v>200</v>
      </c>
      <c r="C21" s="7" t="inlineStr">
        <is>
          <t>120</t>
        </is>
      </c>
      <c r="D21" s="8" t="inlineStr">
        <is>
          <t>Maximale Rechenzeit des Solvers in Sekunden. Nach Ablauf wird die beste bisher gefundene Loesung verwendet (auch wenn nicht bewiesen optimal).</t>
        </is>
      </c>
    </row>
    <row r="22" ht="28.55" customHeight="1" s="24">
      <c r="A22" s="6" t="inlineStr">
        <is>
          <t>enforce_company_annual_target_consistency</t>
        </is>
      </c>
      <c r="B22" s="16" t="inlineStr">
        <is>
          <t>true</t>
        </is>
      </c>
      <c r="C22" s="7" t="inlineStr">
        <is>
          <t>true</t>
        </is>
      </c>
      <c r="D22" s="8" t="inlineStr">
        <is>
          <t>Konsistenzpruefung: Abbruch wenn die Summe der Quartalsziele einer Firma nicht dem Jahresziel entspricht. Sollte normalerweise auf 'true' stehen.</t>
        </is>
      </c>
    </row>
    <row r="23" ht="28.55" customHeight="1" s="24">
      <c r="A23" s="6" t="inlineStr">
        <is>
          <t>btl_opt_refresh</t>
        </is>
      </c>
      <c r="B23" s="15" t="inlineStr">
        <is>
          <t>replace</t>
        </is>
      </c>
      <c r="C23" s="7" t="inlineStr">
        <is>
          <t>replace</t>
        </is>
      </c>
      <c r="D23" s="8" t="inlineStr">
        <is>
          <t>Aktualisierungsmodus fuer die btl_opt-Tabelle. 'replace' = alle vorhandenen Zeilen loeschen und komplett neu schreiben. Einziger unterstuetzter Modus.</t>
        </is>
      </c>
    </row>
  </sheetData>
  <dataValidations count="1">
    <dataValidation sqref="B22" showDropDown="0" showInputMessage="0" showErrorMessage="1" allowBlank="0" error="Nur true oder false" type="list">
      <formula1>"true,false"</formula1>
    </dataValidation>
  </dataValidations>
  <pageMargins left="0.75" right="0.75" top="1" bottom="1" header="0.5" footer="0.5"/>
  <headerFooter>
    <oddHeader>&amp;L&amp;"Arial"&amp;8&amp;K000000 INTERNAL&amp;1#_x000d_&amp;"Calibri"&amp;11&amp;K000000&amp;"Calibri"&amp;11&amp;K000000&amp;"Calibri"&amp;11&amp;K000000&amp;"Arial"&amp;1 &amp;K000000 INTERNAL#_x000d_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H15" sqref="H15"/>
    </sheetView>
  </sheetViews>
  <sheetFormatPr baseColWidth="10" defaultColWidth="9.140625" defaultRowHeight="14.3"/>
  <cols>
    <col width="51" customWidth="1" style="24" min="1" max="1"/>
    <col width="13.5703125" customWidth="1" style="12" min="2" max="2"/>
    <col width="10" customWidth="1" style="12" min="3" max="6"/>
    <col width="12.140625" customWidth="1" style="12" min="7" max="7"/>
    <col width="18.42578125" customWidth="1" style="24" min="8" max="8"/>
  </cols>
  <sheetData>
    <row r="1" ht="28.55" customHeight="1" s="24">
      <c r="A1" s="1" t="inlineStr">
        <is>
          <t>Firma</t>
        </is>
      </c>
      <c r="B1" s="9" t="inlineStr">
        <is>
          <t>Jahresziel_TE</t>
        </is>
      </c>
      <c r="C1" s="9" t="inlineStr">
        <is>
          <t>Q1</t>
        </is>
      </c>
      <c r="D1" s="9" t="inlineStr">
        <is>
          <t>Q2</t>
        </is>
      </c>
      <c r="E1" s="9" t="inlineStr">
        <is>
          <t>Q3</t>
        </is>
      </c>
      <c r="F1" s="9" t="inlineStr">
        <is>
          <t>Q4</t>
        </is>
      </c>
      <c r="G1" s="9" t="inlineStr">
        <is>
          <t>Schrittweite</t>
        </is>
      </c>
      <c r="H1" s="13" t="inlineStr">
        <is>
          <t>Kontrollsumme Quartale</t>
        </is>
      </c>
    </row>
    <row r="2">
      <c r="A2" s="2" t="inlineStr">
        <is>
          <t>4SOFT GMBH MUENCHEN</t>
        </is>
      </c>
      <c r="B2" s="10" t="n">
        <v>974</v>
      </c>
      <c r="C2" s="11" t="n">
        <v>0.2708665297741273</v>
      </c>
      <c r="D2" s="11" t="n">
        <v>0.2708665297741273</v>
      </c>
      <c r="E2" s="11" t="n">
        <v>0.2291334702258727</v>
      </c>
      <c r="F2" s="11" t="n">
        <v>0.2291334702258727</v>
      </c>
      <c r="G2" s="10" t="n">
        <v>1</v>
      </c>
      <c r="H2" s="11">
        <f>SUM(C2:F2)</f>
        <v/>
      </c>
    </row>
    <row r="3">
      <c r="A3" s="2" t="inlineStr">
        <is>
          <t>BERTRANDT INGENIEURBUERO GMBH TAPPENBECK</t>
        </is>
      </c>
      <c r="B3" s="10" t="n">
        <v>905</v>
      </c>
      <c r="C3" s="11" t="n">
        <v>0.2708662983425414</v>
      </c>
      <c r="D3" s="11" t="n">
        <v>0.2708662983425414</v>
      </c>
      <c r="E3" s="11" t="n">
        <v>0.2291337016574586</v>
      </c>
      <c r="F3" s="11" t="n">
        <v>0.2291337016574586</v>
      </c>
      <c r="G3" s="10" t="n">
        <v>1</v>
      </c>
      <c r="H3" s="11">
        <f>SUM(C3:F3)</f>
        <v/>
      </c>
    </row>
    <row r="4">
      <c r="A4" s="2" t="inlineStr">
        <is>
          <t>EDAG ENGINEERING GMBH WOLFSBURG</t>
        </is>
      </c>
      <c r="B4" s="10" t="n">
        <v>1088</v>
      </c>
      <c r="C4" s="11" t="n">
        <v>0.2708658088235294</v>
      </c>
      <c r="D4" s="11" t="n">
        <v>0.2708658088235294</v>
      </c>
      <c r="E4" s="11" t="n">
        <v>0.2291341911764706</v>
      </c>
      <c r="F4" s="11" t="n">
        <v>0.2291341911764706</v>
      </c>
      <c r="G4" s="10" t="n">
        <v>1</v>
      </c>
      <c r="H4" s="11">
        <f>SUM(C4:F4)</f>
        <v/>
      </c>
    </row>
    <row r="5">
      <c r="A5" s="2" t="inlineStr">
        <is>
          <t>FES GMBH ZWICKAU/00</t>
        </is>
      </c>
      <c r="B5" s="10" t="n">
        <v>478</v>
      </c>
      <c r="C5" s="11" t="n">
        <v>0.2708661087866109</v>
      </c>
      <c r="D5" s="11" t="n">
        <v>0.2708661087866109</v>
      </c>
      <c r="E5" s="11" t="n">
        <v>0.2291338912133891</v>
      </c>
      <c r="F5" s="11" t="n">
        <v>0.2291338912133891</v>
      </c>
      <c r="G5" s="10" t="n">
        <v>1</v>
      </c>
      <c r="H5" s="11">
        <f>SUM(C5:F5)</f>
        <v/>
      </c>
    </row>
    <row r="6">
      <c r="A6" s="2" t="inlineStr">
        <is>
          <t>SUMITOMO ELECTRIC BORDNETZE SE WOLFSBURG</t>
        </is>
      </c>
      <c r="B6" s="10" t="n">
        <v>156</v>
      </c>
      <c r="C6" s="11" t="n">
        <v>0.2708653846153846</v>
      </c>
      <c r="D6" s="11" t="n">
        <v>0.2708653846153846</v>
      </c>
      <c r="E6" s="11" t="n">
        <v>0.2291346153846154</v>
      </c>
      <c r="F6" s="11" t="n">
        <v>0.2291346153846154</v>
      </c>
      <c r="G6" s="10" t="n">
        <v>1</v>
      </c>
      <c r="H6" s="11">
        <f>SUM(C6:F6)</f>
        <v/>
      </c>
    </row>
    <row r="7">
      <c r="A7" s="2" t="inlineStr">
        <is>
          <t>THIESEN HARDWARE SOFTW. GMBH WARTENBERG</t>
        </is>
      </c>
      <c r="B7" s="10" t="n">
        <v>551</v>
      </c>
      <c r="C7" s="11" t="n">
        <v>0.2708656987295826</v>
      </c>
      <c r="D7" s="11" t="n">
        <v>0.2708656987295826</v>
      </c>
      <c r="E7" s="11" t="n">
        <v>0.2291343012704174</v>
      </c>
      <c r="F7" s="11" t="n">
        <v>0.2291343012704174</v>
      </c>
      <c r="G7" s="10" t="n">
        <v>1</v>
      </c>
      <c r="H7" s="11">
        <f>SUM(C7:F7)</f>
        <v/>
      </c>
    </row>
    <row r="8">
      <c r="A8" s="2" t="inlineStr">
        <is>
          <t>VOITAS ENGINEERING GMBH GEISENFELD</t>
        </is>
      </c>
      <c r="B8" s="10" t="n">
        <v>0</v>
      </c>
      <c r="C8" s="11" t="n">
        <v>0.25</v>
      </c>
      <c r="D8" s="11" t="n">
        <v>0.25</v>
      </c>
      <c r="E8" s="11" t="n">
        <v>0.25</v>
      </c>
      <c r="F8" s="11" t="n">
        <v>0.25</v>
      </c>
      <c r="G8" s="10" t="n">
        <v>1</v>
      </c>
      <c r="H8" s="11">
        <f>SUM(C8:F8)</f>
        <v/>
      </c>
    </row>
    <row r="9">
      <c r="A9" s="2" t="inlineStr">
        <is>
          <t>VOLKSWAGEN GROUP SERVICES GMBH WOLFSBURG</t>
        </is>
      </c>
      <c r="B9" s="10" t="n">
        <v>281</v>
      </c>
      <c r="C9" s="11" t="n">
        <v>0.270864768683274</v>
      </c>
      <c r="D9" s="11" t="n">
        <v>0.270864768683274</v>
      </c>
      <c r="E9" s="11" t="n">
        <v>0.229135231316726</v>
      </c>
      <c r="F9" s="11" t="n">
        <v>0.229135231316726</v>
      </c>
      <c r="G9" s="10" t="n">
        <v>1</v>
      </c>
      <c r="H9" s="11">
        <f>SUM(C9:F9)</f>
        <v/>
      </c>
    </row>
  </sheetData>
  <pageMargins left="0.75" right="0.75" top="1" bottom="1" header="0.5" footer="0.5"/>
  <headerFooter>
    <oddHeader>&amp;L&amp;"Arial"&amp;8&amp;K000000 INTERNAL&amp;1#_x000d_&amp;"Calibri"&amp;11&amp;K000000&amp;"Calibri"&amp;11&amp;K000000&amp;"Calibri"&amp;11&amp;K000000&amp;"Arial"&amp;1 &amp;K000000 INTERNAL#_x000d_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E13" sqref="E13"/>
    </sheetView>
  </sheetViews>
  <sheetFormatPr baseColWidth="10" defaultColWidth="18" defaultRowHeight="14.3"/>
  <cols>
    <col width="18" customWidth="1" style="3" min="1" max="3"/>
    <col width="18" customWidth="1" style="18" min="4" max="5"/>
    <col width="25.42578125" customWidth="1" style="3" min="6" max="6"/>
    <col width="30.85546875" customWidth="1" style="3" min="7" max="7"/>
    <col width="46" customWidth="1" style="3" min="8" max="8"/>
    <col width="67.42578125" customWidth="1" style="3" min="9" max="9"/>
    <col width="18" customWidth="1" style="3" min="10" max="11"/>
    <col width="18" customWidth="1" style="3" min="12" max="16384"/>
  </cols>
  <sheetData>
    <row r="1">
      <c r="A1" s="1" t="inlineStr">
        <is>
          <t>Thema</t>
        </is>
      </c>
      <c r="B1" s="1" t="inlineStr">
        <is>
          <t>EA</t>
        </is>
      </c>
      <c r="C1" s="20" t="inlineStr">
        <is>
          <t>EL</t>
        </is>
      </c>
      <c r="D1" s="17" t="inlineStr">
        <is>
          <t>FL</t>
        </is>
      </c>
      <c r="E1" s="17" t="inlineStr">
        <is>
          <t>Kadenz</t>
        </is>
      </c>
      <c r="F1" s="1" t="inlineStr">
        <is>
          <t>Erlaubte_Firmen</t>
        </is>
      </c>
      <c r="G1" s="1" t="inlineStr">
        <is>
          <t>Prioritaet_Firmen</t>
        </is>
      </c>
      <c r="H1" s="20" t="inlineStr">
        <is>
          <t>Bemerkung</t>
        </is>
      </c>
      <c r="I1" s="20" t="inlineStr">
        <is>
          <t>Hinweise</t>
        </is>
      </c>
    </row>
    <row r="2" ht="85.55" customHeight="1" s="24">
      <c r="A2" s="3" t="inlineStr">
        <is>
          <t>PMT</t>
        </is>
      </c>
      <c r="B2" s="3" t="inlineStr">
        <is>
          <t>43932</t>
        </is>
      </c>
      <c r="C2" s="3" t="inlineStr">
        <is>
          <t>{'mode': 'hours', 'value': 8449.0, 'display': '8.449h'}</t>
        </is>
      </c>
      <c r="D2" s="18" t="n">
        <v>1048</v>
      </c>
      <c r="E2" s="18" t="inlineStr">
        <is>
          <t>quartalsweise</t>
        </is>
      </c>
      <c r="F2" s="3" t="inlineStr">
        <is>
          <t>4SOFT, THIESEN, VOLKSWAGEN, FES, SUMITOMO</t>
        </is>
      </c>
      <c r="G2" s="3" t="inlineStr">
        <is>
          <t>4SOFT, THIESEN, VOLKSWAGEN, FES, SUMITOMO</t>
        </is>
      </c>
      <c r="H2" s="3" t="inlineStr">
        <is>
          <t>FL genehmigt. PMT-ID: 26-011. EL in Stunden!
100% EL für Ralf, Frank, Michal, Chris
62% Andreas</t>
        </is>
      </c>
      <c r="I2" s="3" t="inlineStr">
        <is>
          <t>EL und FL müssen exakt passen!
EL und FL dürfen nur Quartalsweise beauftragen und werden sehr genau beobachtet.
Folgende Firmen können auf PMT buchen: 4soft, Thiesen, Volkswagen Group Services, FES, Sumitomo in genau dieser Priorität.
Achtung: 4soft kann nur auf PMT und Digi-budget gebucht werden!</t>
        </is>
      </c>
    </row>
    <row r="3" ht="71.3" customHeight="1" s="24">
      <c r="A3" s="3" t="inlineStr">
        <is>
          <t>Digi-budget</t>
        </is>
      </c>
      <c r="B3" s="3" t="inlineStr">
        <is>
          <t>48040</t>
        </is>
      </c>
      <c r="C3" s="3" t="inlineStr">
        <is>
          <t>{'mode': 'none', 'value': None, 'display': '-'}</t>
        </is>
      </c>
      <c r="D3" s="18" t="n">
        <v>290</v>
      </c>
      <c r="E3" s="18" t="inlineStr">
        <is>
          <t>1. Halbjahr</t>
        </is>
      </c>
      <c r="F3" s="3" t="inlineStr">
        <is>
          <t>4SOFT, VOLKSWAGEN, FES</t>
        </is>
      </c>
      <c r="G3" s="3" t="inlineStr">
        <is>
          <t>4SOFT, VOLKSWAGEN, FES</t>
        </is>
      </c>
      <c r="H3" s="3" t="inlineStr">
        <is>
          <t>1. HJ DMU (170T€) + RuleChecker (120T€), aber mind. je 10T€ EL, 2. HJ noch kein Budget</t>
        </is>
      </c>
      <c r="I3" s="3" t="inlineStr">
        <is>
          <t>FL muss exakt passen! 
EL kann niedriger sein, darf aber auf keinen Fall höher sein. 
Werte für 1. HJ müssen auch wirklich im 1.HJ beauftragt werden.
Folgende Firmen können auf Digi-budget buchen: 4soft, Volkswagen Group Services, FES in genau dieser Priorität.</t>
        </is>
      </c>
    </row>
    <row r="4" ht="71.3" customHeight="1" s="24">
      <c r="A4" s="3" t="inlineStr">
        <is>
          <t>VCTC (KÜE)</t>
        </is>
      </c>
      <c r="B4" s="3" t="inlineStr">
        <is>
          <t>93037</t>
        </is>
      </c>
      <c r="C4" s="3" t="inlineStr">
        <is>
          <t>{'mode': 'none', 'value': None, 'display': '-'}</t>
        </is>
      </c>
      <c r="D4" s="18" t="n">
        <v>45</v>
      </c>
      <c r="E4" s="18" t="inlineStr">
        <is>
          <t>jaehrlich</t>
        </is>
      </c>
      <c r="F4" s="3" t="inlineStr">
        <is>
          <t>BERTRANDT, EDAG, FES, THIESEN</t>
        </is>
      </c>
      <c r="H4" s="3" t="inlineStr">
        <is>
          <t>KÜE CMP21D (49T€ &gt; 45T€)</t>
        </is>
      </c>
      <c r="I4" s="3" t="inlineStr">
        <is>
          <t>Hier nur FL buchen. 
FL muss exakt passen. 
FL kann am Stück beauftragt werden (hier keine Quartalsaufteilung notwendig).
Nur für Bertrandt, EDAG, FES, Thiesen.</t>
        </is>
      </c>
    </row>
    <row r="5" ht="71.3" customHeight="1" s="24">
      <c r="A5" s="3" t="inlineStr">
        <is>
          <t>VCTC (AWS)</t>
        </is>
      </c>
      <c r="B5" s="3" t="inlineStr">
        <is>
          <t>0055543, 0055544, 0000097</t>
        </is>
      </c>
      <c r="C5" s="3" t="inlineStr">
        <is>
          <t>{'mode': 'none', 'value': None, 'display': '-'}</t>
        </is>
      </c>
      <c r="D5" s="18" t="n">
        <v>201</v>
      </c>
      <c r="E5" s="18" t="inlineStr">
        <is>
          <t>jaehrlich</t>
        </is>
      </c>
      <c r="F5" s="3" t="inlineStr">
        <is>
          <t>BERTRANDT, EDAG, FES, THIESEN</t>
        </is>
      </c>
      <c r="H5" s="3" t="inlineStr">
        <is>
          <t>AWS  x4 in Summe 45 + 63 + 75 + 63 = 246 (TODO)</t>
        </is>
      </c>
      <c r="I5" s="3" t="inlineStr">
        <is>
          <t>Hier nur FL buchen. 
FL muss exakt passen. 
FL kann am Stück beauftragt werden (hier keine Quartalsaufteilung notwendig).
Nur für Bertrandt, EDAG, FES, Thiesen.</t>
        </is>
      </c>
    </row>
    <row r="6" ht="42.8" customHeight="1" s="24">
      <c r="A6" s="3" t="inlineStr">
        <is>
          <t>NE Space Crafter</t>
        </is>
      </c>
      <c r="B6" s="3" t="inlineStr">
        <is>
          <t>22020</t>
        </is>
      </c>
      <c r="C6" s="3" t="inlineStr">
        <is>
          <t>{'mode': 'te', 'value': 15.0, 'display': '15'}</t>
        </is>
      </c>
      <c r="D6" s="18" t="n">
        <v>150</v>
      </c>
      <c r="E6" s="18" t="inlineStr">
        <is>
          <t>pro Halbjahr</t>
        </is>
      </c>
      <c r="F6" s="3" t="inlineStr">
        <is>
          <t>BERTRANDT, EDAG</t>
        </is>
      </c>
      <c r="H6" s="3" t="inlineStr">
        <is>
          <t>Pro Halbjahr, EL: Armin, Donato, Afshin, TCM</t>
        </is>
      </c>
      <c r="I6" s="3" t="inlineStr">
        <is>
          <t>EL und FL müssen exakt passen!
EL und FL müssen hier pro Halbjahr beauftragt werden!
Nur für Bertrandt und EDAG!</t>
        </is>
      </c>
    </row>
    <row r="7" ht="42.8" customHeight="1" s="24">
      <c r="A7" s="3" t="inlineStr">
        <is>
          <t>NE ID Buzz AD</t>
        </is>
      </c>
      <c r="B7" s="3" t="inlineStr">
        <is>
          <t>35566</t>
        </is>
      </c>
      <c r="C7" s="3" t="inlineStr">
        <is>
          <t>{'mode': 'te', 'value': 15.0, 'display': '15'}</t>
        </is>
      </c>
      <c r="D7" s="18" t="n">
        <v>150</v>
      </c>
      <c r="E7" s="18" t="inlineStr">
        <is>
          <t>pro Quartal</t>
        </is>
      </c>
      <c r="F7" s="3" t="inlineStr">
        <is>
          <t>BERTRANDT, EDAG</t>
        </is>
      </c>
      <c r="H7" s="3" t="inlineStr">
        <is>
          <t>Pro Quartal,  EL: Armin, Donato, Afshin, TCM</t>
        </is>
      </c>
      <c r="I7" s="3" t="inlineStr">
        <is>
          <t>EL und FL müssen exakt passen!
EL und FL müssen hier pro por Quartal beauftragt werden!
Nur für Bertrandt und EDAG!</t>
        </is>
      </c>
    </row>
    <row r="8" ht="42.8" customHeight="1" s="24">
      <c r="A8" s="3" t="inlineStr">
        <is>
          <t>MQB@CAE</t>
        </is>
      </c>
      <c r="B8" s="3" t="inlineStr">
        <is>
          <t>412</t>
        </is>
      </c>
      <c r="C8" s="3" t="inlineStr">
        <is>
          <t>{'mode': 'none', 'value': None, 'display': '-'}</t>
        </is>
      </c>
      <c r="D8" s="18" t="n">
        <v>323</v>
      </c>
      <c r="E8" s="18" t="inlineStr">
        <is>
          <t>jaehrlich</t>
        </is>
      </c>
      <c r="F8" s="3" t="inlineStr">
        <is>
          <t>BERTRANDT, EDAG, FES, THIESEN</t>
        </is>
      </c>
      <c r="H8" s="3" t="inlineStr">
        <is>
          <t>Ein EA, Budgetadjustierung zugesagt. 323 T€ (2026) + 389 T€ (2027)...</t>
        </is>
      </c>
      <c r="I8" s="3" t="inlineStr">
        <is>
          <t>Hier nur FL buchen. FL muss exakt passen. FL kann am Stück beauftragt werden (hier keine Quartalsaufteilung notwendig).
Nur für Bertrandt, EDAG, FES, Thiesen.</t>
        </is>
      </c>
    </row>
    <row r="9" ht="42.8" customHeight="1" s="24">
      <c r="A9" s="3" t="inlineStr">
        <is>
          <t>BIB+China Audi</t>
        </is>
      </c>
      <c r="B9" s="3" t="inlineStr">
        <is>
          <t>33517</t>
        </is>
      </c>
      <c r="C9" s="3" t="inlineStr">
        <is>
          <t>{'mode': 'none', 'value': None, 'display': '-'}</t>
        </is>
      </c>
      <c r="E9" s="18" t="inlineStr">
        <is>
          <t>jaehrlich</t>
        </is>
      </c>
      <c r="F9" s="3" t="inlineStr">
        <is>
          <t>EDAG</t>
        </is>
      </c>
      <c r="G9" s="3" t="inlineStr">
        <is>
          <t>EDAG</t>
        </is>
      </c>
      <c r="H9" s="3" t="inlineStr">
        <is>
          <t>Bib Audi lt. Abmachung 81T€ EL + 238 T€ FL aber intern alles für FL!
China Audi: 61T€</t>
        </is>
      </c>
      <c r="I9" s="3" t="inlineStr">
        <is>
          <t>folgende firmen buchen: EDAG
Zur Not auch andere Firmen/Dienstleister, die woanders abgelehnt werden (prio 2). EA-Target bleibt unverändert.</t>
        </is>
      </c>
    </row>
    <row r="10" ht="42.8" customHeight="1" s="24">
      <c r="A10" s="3" t="inlineStr">
        <is>
          <t>Scania</t>
        </is>
      </c>
      <c r="B10" s="3" t="inlineStr">
        <is>
          <t>536</t>
        </is>
      </c>
      <c r="C10" s="3" t="inlineStr">
        <is>
          <t>{'mode': 'manual', 'value': None, 'display': '15000'}</t>
        </is>
      </c>
      <c r="E10" s="18" t="inlineStr">
        <is>
          <t>keine FL</t>
        </is>
      </c>
      <c r="H10" s="3" t="inlineStr">
        <is>
          <t>Nur EL. EA Nummer EA536 angelegt und zentrale KÜE 200k€ bestäzigt (TODO)</t>
        </is>
      </c>
      <c r="I10" s="3" t="inlineStr">
        <is>
          <t>Nur EL. Keine FL.</t>
        </is>
      </c>
    </row>
  </sheetData>
  <pageMargins left="0.75" right="0.75" top="1" bottom="1" header="0.5" footer="0.5"/>
  <headerFooter>
    <oddHeader>&amp;L&amp;"Arial"&amp;8&amp;K000000 INTERNAL&amp;1#_x000d_&amp;"Calibri"&amp;11&amp;K000000&amp;"Calibri"&amp;11&amp;K000000&amp;"Calibri"&amp;11&amp;K000000&amp;"Arial"&amp;1 &amp;K000000 INTERNAL#_x000d_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tabSelected="1" workbookViewId="0">
      <selection activeCell="A3" sqref="A3"/>
    </sheetView>
  </sheetViews>
  <sheetFormatPr baseColWidth="10" defaultColWidth="9.140625" defaultRowHeight="14.3"/>
  <cols>
    <col width="14" customWidth="1" style="27" min="1" max="1"/>
    <col width="45.5703125" customWidth="1" style="24" min="2" max="2"/>
    <col width="67.85546875" customWidth="1" style="24" min="3" max="3"/>
  </cols>
  <sheetData>
    <row r="1">
      <c r="A1" s="25" t="inlineStr">
        <is>
          <t>EA</t>
        </is>
      </c>
      <c r="B1" s="21" t="inlineStr">
        <is>
          <t>EA-Bezeichnung</t>
        </is>
      </c>
      <c r="C1" s="21" t="inlineStr">
        <is>
          <t>Grund</t>
        </is>
      </c>
    </row>
    <row r="2">
      <c r="A2" s="26" t="inlineStr">
        <is>
          <t>48040</t>
        </is>
      </c>
      <c r="B2" s="22" t="inlineStr">
        <is>
          <t>TEDigitalisierung</t>
        </is>
      </c>
      <c r="C2" s="22" t="inlineStr">
        <is>
          <t>Nur für VE/Digitaliseirungsprojekte</t>
        </is>
      </c>
    </row>
    <row r="3">
      <c r="A3" s="28" t="n">
        <v>5555555</v>
      </c>
      <c r="B3" s="29" t="inlineStr">
        <is>
          <t>Vorhalt (nur für Fremdleistung! / EK-intern)</t>
        </is>
      </c>
      <c r="C3" s="22" t="inlineStr">
        <is>
          <t>Nur Vorhalt. Soll wg. VS nicht beplant werden</t>
        </is>
      </c>
    </row>
    <row r="4">
      <c r="A4" s="26" t="inlineStr">
        <is>
          <t>90741</t>
        </is>
      </c>
      <c r="B4" s="22" t="inlineStr">
        <is>
          <t>Nachträgliche Projektkostenzuordnung</t>
        </is>
      </c>
      <c r="C4" s="22" t="inlineStr">
        <is>
          <t>Spezial-EA</t>
        </is>
      </c>
    </row>
    <row r="5">
      <c r="A5" s="26" t="inlineStr">
        <is>
          <t>9999999</t>
        </is>
      </c>
      <c r="B5" s="22" t="inlineStr">
        <is>
          <t>Rest/Sachgemeinkosten</t>
        </is>
      </c>
      <c r="C5" s="22" t="inlineStr">
        <is>
          <t>Spezial-EA</t>
        </is>
      </c>
    </row>
    <row r="6">
      <c r="A6" s="30" t="n">
        <v>42920</v>
      </c>
      <c r="B6" s="31" t="inlineStr">
        <is>
          <t xml:space="preserve">SB MQB27/37/41/48/SUV inkl. BEV/PHEV                        </t>
        </is>
      </c>
      <c r="C6" s="22" t="inlineStr">
        <is>
          <t>Projektleiter hat angelehnt</t>
        </is>
      </c>
    </row>
    <row r="7">
      <c r="A7" s="30" t="n">
        <v>34655</v>
      </c>
      <c r="B7" s="31" t="inlineStr">
        <is>
          <t xml:space="preserve">SB VW53X Hut                                                </t>
        </is>
      </c>
      <c r="C7" s="22" t="inlineStr">
        <is>
          <t>Projektleiter hat angelehnt</t>
        </is>
      </c>
    </row>
    <row r="8">
      <c r="A8" s="30" t="n">
        <v>237</v>
      </c>
      <c r="B8" s="31" t="inlineStr">
        <is>
          <t xml:space="preserve">VW416/6B-SUVe 5S FBU EU                                     </t>
        </is>
      </c>
      <c r="C8" s="22" t="inlineStr">
        <is>
          <t>Projektleiter hat angelehnt</t>
        </is>
      </c>
    </row>
    <row r="9">
      <c r="A9" s="30" t="n">
        <v>170</v>
      </c>
      <c r="B9" s="31" t="inlineStr">
        <is>
          <t xml:space="preserve">SSP31B NAR                                                  </t>
        </is>
      </c>
      <c r="C9" s="22" t="inlineStr">
        <is>
          <t>Projektleiter hat angelehnt</t>
        </is>
      </c>
    </row>
    <row r="10">
      <c r="A10" s="30" t="n">
        <v>65</v>
      </c>
      <c r="B10" s="31" t="inlineStr">
        <is>
          <t>VW423/1CS_B – B Sedan</t>
        </is>
      </c>
      <c r="C10" s="22" t="inlineStr">
        <is>
          <t>Projektleiter hat angelehnt</t>
        </is>
      </c>
    </row>
    <row r="11">
      <c r="A11" s="30" t="n">
        <v>358</v>
      </c>
      <c r="B11" s="31" t="inlineStr">
        <is>
          <t>VW423/1CS_E – B Sedan – EREV</t>
        </is>
      </c>
      <c r="C11" s="22" t="inlineStr">
        <is>
          <t>Projektleiter hat angelehnt</t>
        </is>
      </c>
    </row>
    <row r="12">
      <c r="A12" s="30" t="n">
        <v>357</v>
      </c>
      <c r="B12" s="31" t="inlineStr">
        <is>
          <t>CSP31D EREV (B NB)</t>
        </is>
      </c>
      <c r="C12" s="22" t="inlineStr">
        <is>
          <t>Projektleiter hat angelehnt</t>
        </is>
      </c>
    </row>
    <row r="13">
      <c r="A13" s="30" t="n">
        <v>398</v>
      </c>
      <c r="B13" s="31" t="inlineStr">
        <is>
          <t>VW326/6CS_B – A+ SUV – EREV</t>
        </is>
      </c>
      <c r="C13" s="22" t="inlineStr">
        <is>
          <t>Projektleiter hat angelehnt</t>
        </is>
      </c>
    </row>
    <row r="14">
      <c r="A14" s="30" t="n">
        <v>421</v>
      </c>
      <c r="B14" s="31" t="inlineStr">
        <is>
          <t>CSP31B EREV (A+)</t>
        </is>
      </c>
      <c r="C14" s="22" t="inlineStr">
        <is>
          <t>Projektleiter hat angelehnt</t>
        </is>
      </c>
    </row>
    <row r="15">
      <c r="A15" s="26" t="inlineStr">
        <is>
          <t>10933</t>
        </is>
      </c>
      <c r="B15" s="22" t="inlineStr">
        <is>
          <t>Baukasten PKO Maßnahmen SOP 2027-2029</t>
        </is>
      </c>
      <c r="C15" s="22" t="n"/>
    </row>
    <row r="16">
      <c r="A16" s="26" t="inlineStr">
        <is>
          <t>87813</t>
        </is>
      </c>
      <c r="B16" s="22" t="inlineStr">
        <is>
          <t>Modul Innenspiegel mit MIK MQB27</t>
        </is>
      </c>
      <c r="C16" s="22" t="n"/>
    </row>
    <row r="17">
      <c r="A17" s="26" t="n">
        <v>90741</v>
      </c>
      <c r="B17" s="22" t="inlineStr">
        <is>
          <t xml:space="preserve">Nachträgliche Projektkostenzuordnung                        </t>
        </is>
      </c>
      <c r="C17" s="22" t="n"/>
    </row>
    <row r="18">
      <c r="A18" s="26" t="n">
        <v>10933</v>
      </c>
      <c r="B18" s="22" t="inlineStr">
        <is>
          <t xml:space="preserve">Baukasten PKO Maßnahmen SOP 2027-2029                       </t>
        </is>
      </c>
      <c r="C18" s="22" t="n"/>
    </row>
    <row r="19">
      <c r="A19" s="26" t="n">
        <v>87813</v>
      </c>
      <c r="B19" s="22" t="inlineStr">
        <is>
          <t xml:space="preserve">Modul Innenspiegel mit MIK MQB27                            </t>
        </is>
      </c>
      <c r="C19" s="22" t="n"/>
    </row>
    <row r="20">
      <c r="A20" s="26" t="n">
        <v>43932</v>
      </c>
      <c r="B20" s="22" t="inlineStr">
        <is>
          <t xml:space="preserve">TE-PMT Mechanikentwicklung                                  </t>
        </is>
      </c>
      <c r="C20" s="22" t="n"/>
    </row>
    <row r="21">
      <c r="A21" s="26" t="n">
        <v>33517</v>
      </c>
      <c r="B21" s="22" t="inlineStr">
        <is>
          <t xml:space="preserve">Arbeiten für FE-externe EK                                  </t>
        </is>
      </c>
      <c r="C21" s="22" t="n"/>
    </row>
    <row r="22">
      <c r="A22" s="26" t="n">
        <v>62819</v>
      </c>
      <c r="B22" s="22" t="inlineStr">
        <is>
          <t xml:space="preserve">VESmart Exterieur                                           </t>
        </is>
      </c>
      <c r="C22" s="22" t="n"/>
    </row>
    <row r="23">
      <c r="A23" s="26" t="n">
        <v>22020</v>
      </c>
      <c r="B23" s="22" t="inlineStr">
        <is>
          <t xml:space="preserve">SPACE -e-Crafter (MEB)                                      </t>
        </is>
      </c>
      <c r="C23" s="22" t="n"/>
    </row>
    <row r="24">
      <c r="A24" s="26" t="n">
        <v>87808</v>
      </c>
      <c r="B24" s="22" t="inlineStr">
        <is>
          <t xml:space="preserve">Modul Ladedosen AC &amp; Combo/DLD/DC Gen.4                     </t>
        </is>
      </c>
      <c r="C24" s="22" t="n"/>
    </row>
    <row r="25">
      <c r="A25" s="26" t="n">
        <v>56900</v>
      </c>
      <c r="B25" s="22" t="inlineStr">
        <is>
          <t xml:space="preserve">PKW Aktionsmodelle VW                                       </t>
        </is>
      </c>
      <c r="C25" s="22" t="n"/>
    </row>
    <row r="26">
      <c r="A26" s="26" t="n">
        <v>48040</v>
      </c>
      <c r="B26" s="22" t="inlineStr">
        <is>
          <t xml:space="preserve">TEDigitalisierung                                           </t>
        </is>
      </c>
      <c r="C26" s="22" t="n"/>
    </row>
    <row r="27">
      <c r="A27" s="26" t="n">
        <v>62816</v>
      </c>
      <c r="B27" s="22" t="inlineStr">
        <is>
          <t xml:space="preserve">VE Vision Zero                                              </t>
        </is>
      </c>
      <c r="C27" s="22" t="n"/>
    </row>
    <row r="28">
      <c r="A28" s="26" t="n">
        <v>62815</v>
      </c>
      <c r="B28" s="22" t="inlineStr">
        <is>
          <t xml:space="preserve">VESmart Interieur                                           </t>
        </is>
      </c>
      <c r="C28" s="22" t="n"/>
    </row>
    <row r="29">
      <c r="A29" s="26" t="n">
        <v>87800</v>
      </c>
      <c r="B29" s="22" t="inlineStr">
        <is>
          <t xml:space="preserve">Weltmodul Klapplehne                                        </t>
        </is>
      </c>
      <c r="C29" s="22" t="n"/>
    </row>
    <row r="30">
      <c r="A30" s="26" t="n">
        <v>48018</v>
      </c>
      <c r="B30" s="22" t="inlineStr">
        <is>
          <t xml:space="preserve">CAD/CAT Methoden- und Applikationsentw.                     </t>
        </is>
      </c>
      <c r="C30" s="22" t="n"/>
    </row>
    <row r="31">
      <c r="A31" s="26" t="n">
        <v>395</v>
      </c>
      <c r="B31" s="22" t="inlineStr">
        <is>
          <t>Grundlast und PV-Wechsel Hut MP MQBevo</t>
        </is>
      </c>
      <c r="C31" s="22" t="n"/>
    </row>
    <row r="32">
      <c r="A32" s="26" t="n">
        <v>62835</v>
      </c>
      <c r="B32" s="22" t="inlineStr">
        <is>
          <t xml:space="preserve">VE Pilotiertes Fahren                                       </t>
        </is>
      </c>
      <c r="C32" s="22" t="n"/>
    </row>
    <row r="33">
      <c r="A33" s="26" t="n">
        <v>273</v>
      </c>
      <c r="B33" s="22" t="inlineStr">
        <is>
          <t>Kreislauffähigkeit</t>
        </is>
      </c>
      <c r="C33" s="22" t="n"/>
    </row>
    <row r="34">
      <c r="A34" s="26" t="n">
        <v>48204</v>
      </c>
      <c r="B34" s="22" t="inlineStr">
        <is>
          <t xml:space="preserve">VE Prototypenfreie phys. Absicherung                        </t>
        </is>
      </c>
      <c r="C34" s="22" t="n"/>
    </row>
    <row r="35">
      <c r="A35" s="26" t="n">
        <v>412</v>
      </c>
      <c r="B35" s="22" t="inlineStr">
        <is>
          <t>MQB@CEA C6b Plattformumfänge</t>
        </is>
      </c>
      <c r="C35" s="22" t="n"/>
    </row>
    <row r="36">
      <c r="A36" s="26" t="n">
        <v>43923</v>
      </c>
      <c r="B36" s="22" t="inlineStr">
        <is>
          <t xml:space="preserve">TE-PMT Anforderungsmanagement                               </t>
        </is>
      </c>
      <c r="C36" s="22" t="n"/>
    </row>
    <row r="37">
      <c r="A37" s="26" t="n">
        <v>62823</v>
      </c>
      <c r="B37" s="22" t="inlineStr">
        <is>
          <t xml:space="preserve">VE Virt. Entw. el. Antriebe                                 </t>
        </is>
      </c>
      <c r="C37" s="22" t="n"/>
    </row>
    <row r="38">
      <c r="A38" s="26" t="n">
        <v>62802</v>
      </c>
      <c r="B38" s="22" t="inlineStr">
        <is>
          <t xml:space="preserve">VE Intelligenter Leichtbau                                  </t>
        </is>
      </c>
      <c r="C38" s="22" t="n"/>
    </row>
    <row r="39">
      <c r="A39" s="26" t="n">
        <v>87445</v>
      </c>
      <c r="B39" s="22" t="inlineStr">
        <is>
          <t xml:space="preserve">MIK Multifunktionsinnenraumkamera                           </t>
        </is>
      </c>
      <c r="C39" s="22" t="n"/>
    </row>
    <row r="40">
      <c r="A40" s="26" t="n">
        <v>87779</v>
      </c>
      <c r="B40" s="22" t="inlineStr">
        <is>
          <t xml:space="preserve">HV Wasserheizer KKH06                                       </t>
        </is>
      </c>
      <c r="C40" s="22" t="n"/>
    </row>
    <row r="41">
      <c r="A41" s="26" t="n">
        <v>87814</v>
      </c>
      <c r="B41" s="22" t="inlineStr">
        <is>
          <t xml:space="preserve">Modul Thermo-System MQB/MEB                                 </t>
        </is>
      </c>
      <c r="C41" s="22" t="n"/>
    </row>
    <row r="42">
      <c r="A42" s="26" t="n">
        <v>87778</v>
      </c>
      <c r="B42" s="22" t="inlineStr">
        <is>
          <t xml:space="preserve">Klimafunktionssoftware SSP                                  </t>
        </is>
      </c>
      <c r="C42" s="22" t="n"/>
    </row>
    <row r="43">
      <c r="A43" s="26" t="n">
        <v>62814</v>
      </c>
      <c r="B43" s="22" t="inlineStr">
        <is>
          <t xml:space="preserve">VE Smart Cockpit &amp; Intuitive Usability                      </t>
        </is>
      </c>
      <c r="C43" s="22" t="n"/>
    </row>
    <row r="44">
      <c r="A44" s="26" t="n">
        <v>87804</v>
      </c>
      <c r="B44" s="22" t="inlineStr">
        <is>
          <t xml:space="preserve">Klimaheizgerät SSPals Einzelmodul                           </t>
        </is>
      </c>
      <c r="C44" s="22" t="n"/>
    </row>
    <row r="45">
      <c r="A45" s="26" t="n">
        <v>9619</v>
      </c>
      <c r="B45" s="22" t="inlineStr">
        <is>
          <t xml:space="preserve">CSC Entscheidungen                                          </t>
        </is>
      </c>
      <c r="C45" s="22" t="n"/>
    </row>
    <row r="46">
      <c r="A46" s="26" t="n">
        <v>43743</v>
      </c>
      <c r="B46" s="22" t="inlineStr">
        <is>
          <t xml:space="preserve">Auftragsentwicklung MEB31 Skoda 7S EU                       </t>
        </is>
      </c>
      <c r="C46" s="22" t="n"/>
    </row>
    <row r="47">
      <c r="A47" s="26" t="n">
        <v>87343</v>
      </c>
      <c r="B47" s="22" t="inlineStr">
        <is>
          <t xml:space="preserve">SB Module EE                                                </t>
        </is>
      </c>
      <c r="C47" s="22" t="n"/>
    </row>
    <row r="48">
      <c r="A48" s="26" t="n">
        <v>87822</v>
      </c>
      <c r="B48" s="22" t="inlineStr">
        <is>
          <t xml:space="preserve">SB Einzelmodule Thermo-System                               </t>
        </is>
      </c>
      <c r="C48" s="22" t="n"/>
    </row>
    <row r="49">
      <c r="A49" s="26" t="n">
        <v>43904</v>
      </c>
      <c r="B49" s="22" t="inlineStr">
        <is>
          <t xml:space="preserve">Plattforminteg. C2P Optima Next Level                       </t>
        </is>
      </c>
      <c r="C49" s="22" t="n"/>
    </row>
    <row r="50">
      <c r="A50" s="26" t="n">
        <v>33501</v>
      </c>
      <c r="B50" s="22" t="inlineStr">
        <is>
          <t xml:space="preserve">Produkthaftpflichtfaelle                                    </t>
        </is>
      </c>
      <c r="C50" s="22" t="n"/>
    </row>
    <row r="51">
      <c r="A51" s="26" t="n">
        <v>10938</v>
      </c>
      <c r="B51" s="22" t="inlineStr">
        <is>
          <t xml:space="preserve">TE-Effizienzprogramm -Pitchday Themen                       </t>
        </is>
      </c>
      <c r="C51" s="22" t="n"/>
    </row>
    <row r="52">
      <c r="A52" s="26" t="n">
        <v>43866</v>
      </c>
      <c r="B52" s="22" t="inlineStr">
        <is>
          <t xml:space="preserve">MQBevo BCM Re-Design                                        </t>
        </is>
      </c>
      <c r="C52" s="22" t="n"/>
    </row>
    <row r="53">
      <c r="A53" s="26" t="n">
        <v>245</v>
      </c>
      <c r="B53" s="22" t="inlineStr">
        <is>
          <t>Konzept MQBevo AmainSUV NAR</t>
        </is>
      </c>
      <c r="C53" s="22" t="n"/>
    </row>
    <row r="54">
      <c r="A54" s="26" t="n">
        <v>35005</v>
      </c>
      <c r="B54" s="22" t="inlineStr">
        <is>
          <t xml:space="preserve">Meßtechnik Sicherheitsversuch Plattformübergreife           </t>
        </is>
      </c>
      <c r="C54" s="22" t="n"/>
    </row>
    <row r="55">
      <c r="A55" s="26" t="n">
        <v>45028</v>
      </c>
      <c r="B55" s="22" t="inlineStr">
        <is>
          <t xml:space="preserve">MQBevo - Funktionserweiterung MJW24/28                      </t>
        </is>
      </c>
      <c r="C55" s="22" t="n"/>
    </row>
    <row r="56">
      <c r="A56" s="26" t="n">
        <v>87441</v>
      </c>
      <c r="B56" s="22" t="inlineStr">
        <is>
          <t xml:space="preserve">ModulTBK Sitzanlagen                                        </t>
        </is>
      </c>
      <c r="C56" s="22" t="n"/>
    </row>
    <row r="57">
      <c r="A57" s="26" t="n">
        <v>43798</v>
      </c>
      <c r="B57" s="22" t="inlineStr">
        <is>
          <t xml:space="preserve">MQB Ertüchtigung funktionale Sicherheit                     </t>
        </is>
      </c>
      <c r="C57" s="22" t="n"/>
    </row>
    <row r="58">
      <c r="A58" s="26" t="n">
        <v>62800</v>
      </c>
      <c r="B58" s="22" t="inlineStr">
        <is>
          <t xml:space="preserve">VE Kompetenzentwicklung                                     </t>
        </is>
      </c>
      <c r="C58" s="22" t="n"/>
    </row>
    <row r="59">
      <c r="A59" s="26" t="n">
        <v>87782</v>
      </c>
      <c r="B59" s="22" t="inlineStr">
        <is>
          <t xml:space="preserve">Lenkrad Gen.X China                                         </t>
        </is>
      </c>
      <c r="C59" s="22" t="n"/>
    </row>
  </sheetData>
  <pageMargins left="0.75" right="0.75" top="1" bottom="1" header="0.5" footer="0.5"/>
  <headerFooter>
    <oddHeader>&amp;L&amp;"Arial"&amp;1 &amp;K000000 INTERNAL#_x000d_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2026-04-21T15:34:11Z</dcterms:created>
  <dcterms:modified xmlns:dcterms="http://purl.org/dc/terms/" xmlns:xsi="http://www.w3.org/2001/XMLSchema-instance" xsi:type="dcterms:W3CDTF">2026-04-23T15:07:24Z</dcterms:modified>
  <cp:lastModifiedBy>Mueller, Tobias Carsten, Dr. (EKEK/1)</cp:lastModifiedBy>
</cp:coreProperties>
</file>